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3040" windowHeight="9144" tabRatio="814" firstSheet="8" activeTab="14"/>
  </bookViews>
  <sheets>
    <sheet name="DiagnosticSessionControl_0x10" sheetId="1" r:id="rId1"/>
    <sheet name="ECUReset_0x11" sheetId="2" r:id="rId2"/>
    <sheet name="ClearDiagnosticInformation_0x14" sheetId="3" r:id="rId3"/>
    <sheet name="ClearDiagnosticIn_0x14_confirm" sheetId="16" r:id="rId4"/>
    <sheet name="ReadDTCInformation_0x19" sheetId="4" r:id="rId5"/>
    <sheet name="ReadDataByIdentifier_0x22" sheetId="5" r:id="rId6"/>
    <sheet name="SecurityAccess_0x27" sheetId="6" r:id="rId7"/>
    <sheet name="SecurityAccess_0x27_Confirm" sheetId="15" r:id="rId8"/>
    <sheet name="CommunicationControl_0x28" sheetId="7" r:id="rId9"/>
    <sheet name="WriteDataByIdentifier_0x2e" sheetId="8" r:id="rId10"/>
    <sheet name="RoutineControl_0x31" sheetId="9" r:id="rId11"/>
    <sheet name="RoutineControl_0x31_confirm" sheetId="17" r:id="rId12"/>
    <sheet name="TesterPresent_0x3e" sheetId="10" r:id="rId13"/>
    <sheet name="ControlDTCSettings_0x85" sheetId="11" r:id="rId14"/>
    <sheet name="测试汇总" sheetId="12" r:id="rId15"/>
  </sheets>
  <calcPr calcId="162913"/>
</workbook>
</file>

<file path=xl/calcChain.xml><?xml version="1.0" encoding="utf-8"?>
<calcChain xmlns="http://schemas.openxmlformats.org/spreadsheetml/2006/main">
  <c r="G15" i="12" l="1"/>
  <c r="H15" i="12"/>
  <c r="I15" i="12"/>
  <c r="J15" i="12"/>
  <c r="J5" i="12"/>
  <c r="J6" i="12"/>
  <c r="J7" i="12"/>
  <c r="J8" i="12"/>
  <c r="J9" i="12"/>
  <c r="J10" i="12"/>
  <c r="J11" i="12"/>
  <c r="J12" i="12"/>
  <c r="J13" i="12"/>
  <c r="J14" i="12"/>
  <c r="J4" i="12"/>
  <c r="A35" i="17"/>
  <c r="A36" i="17"/>
  <c r="A39" i="17" s="1"/>
  <c r="A37" i="17"/>
  <c r="C37" i="17" s="1"/>
  <c r="A38" i="17"/>
  <c r="C38" i="17" s="1"/>
  <c r="A26" i="17"/>
  <c r="A27" i="17" s="1"/>
  <c r="C27" i="17" s="1"/>
  <c r="C25" i="17"/>
  <c r="C7" i="17"/>
  <c r="C8" i="17"/>
  <c r="C9" i="17"/>
  <c r="C10" i="17"/>
  <c r="C11" i="17"/>
  <c r="C12" i="17"/>
  <c r="C13" i="17"/>
  <c r="C14" i="17"/>
  <c r="C15" i="17"/>
  <c r="C16" i="17"/>
  <c r="C17" i="17"/>
  <c r="C18" i="17"/>
  <c r="C36" i="17"/>
  <c r="A6" i="17"/>
  <c r="C39" i="17" l="1"/>
  <c r="A40" i="17"/>
  <c r="C40" i="17" s="1"/>
  <c r="C26" i="17"/>
  <c r="C6" i="17"/>
  <c r="A7" i="17"/>
  <c r="A41" i="17" l="1"/>
  <c r="C41" i="17" s="1"/>
  <c r="A42" i="17"/>
  <c r="C42" i="17" s="1"/>
  <c r="A8" i="17"/>
  <c r="A43" i="17" l="1"/>
  <c r="C43" i="17" s="1"/>
  <c r="A9" i="17"/>
  <c r="A10" i="17" s="1"/>
  <c r="A45" i="17" l="1"/>
  <c r="C45" i="17" s="1"/>
  <c r="A44" i="17"/>
  <c r="A11" i="17"/>
  <c r="A12" i="17"/>
  <c r="A13" i="17" s="1"/>
  <c r="C44" i="17" l="1"/>
  <c r="A46" i="17"/>
  <c r="C46" i="17" s="1"/>
  <c r="A14" i="17"/>
  <c r="A47" i="17" l="1"/>
  <c r="C47" i="17" s="1"/>
  <c r="A15" i="17"/>
  <c r="A16" i="17"/>
  <c r="A17" i="17" l="1"/>
  <c r="A18" i="17" l="1"/>
  <c r="A20" i="17" l="1"/>
  <c r="C20" i="17" l="1"/>
  <c r="A22" i="17"/>
  <c r="C22" i="17" l="1"/>
  <c r="A24" i="17"/>
  <c r="C24" i="17" l="1"/>
  <c r="A25" i="17"/>
  <c r="A30" i="17" l="1"/>
  <c r="C30" i="17" l="1"/>
  <c r="A33" i="17"/>
  <c r="C33" i="17" l="1"/>
  <c r="A34" i="17"/>
  <c r="C34" i="17" l="1"/>
  <c r="C35" i="17" l="1"/>
  <c r="A49" i="17" l="1"/>
  <c r="C49" i="17" l="1"/>
  <c r="A51" i="17"/>
  <c r="C51" i="17" l="1"/>
  <c r="A52" i="17"/>
  <c r="C52" i="17" l="1"/>
  <c r="A55" i="17"/>
  <c r="C55" i="17" s="1"/>
  <c r="F7" i="12" l="1"/>
  <c r="A8" i="7"/>
  <c r="A7" i="7"/>
  <c r="C7" i="7" s="1"/>
  <c r="A103" i="15"/>
  <c r="A104" i="15" s="1"/>
  <c r="A102" i="15"/>
  <c r="A98" i="15"/>
  <c r="A99" i="15" s="1"/>
  <c r="A97" i="15"/>
  <c r="A95" i="15"/>
  <c r="A94" i="15"/>
  <c r="A47" i="15"/>
  <c r="A48" i="15" s="1"/>
  <c r="A46" i="15"/>
  <c r="C39" i="15"/>
  <c r="C40" i="15"/>
  <c r="C41" i="15"/>
  <c r="C21" i="15"/>
  <c r="C22" i="15"/>
  <c r="C23" i="15"/>
  <c r="C24" i="15"/>
  <c r="C25" i="15"/>
  <c r="C26" i="15"/>
  <c r="C27" i="15"/>
  <c r="C28" i="15"/>
  <c r="C29" i="15"/>
  <c r="C30" i="15"/>
  <c r="C31" i="15"/>
  <c r="C32" i="15"/>
  <c r="C33" i="15"/>
  <c r="C34" i="15"/>
  <c r="C15" i="15"/>
  <c r="C16" i="15"/>
  <c r="C17" i="15"/>
  <c r="C18" i="15"/>
  <c r="C7" i="15"/>
  <c r="C8" i="15"/>
  <c r="C9" i="15"/>
  <c r="C10" i="15"/>
  <c r="C46" i="15"/>
  <c r="A6" i="15"/>
  <c r="C8" i="7" l="1"/>
  <c r="A9" i="7"/>
  <c r="C9" i="7" s="1"/>
  <c r="C47" i="15"/>
  <c r="C6" i="15"/>
  <c r="A7" i="15"/>
  <c r="A11" i="7" l="1"/>
  <c r="C11" i="7" s="1"/>
  <c r="A10" i="7"/>
  <c r="C10" i="7" s="1"/>
  <c r="A8" i="15"/>
  <c r="A12" i="7" l="1"/>
  <c r="A9" i="15"/>
  <c r="C12" i="7" l="1"/>
  <c r="A13" i="7"/>
  <c r="A10" i="15"/>
  <c r="C13" i="7" l="1"/>
  <c r="A14" i="7"/>
  <c r="A12" i="15"/>
  <c r="A16" i="7" l="1"/>
  <c r="C14" i="7"/>
  <c r="A17" i="7"/>
  <c r="C17" i="7" s="1"/>
  <c r="C12" i="15"/>
  <c r="A14" i="15"/>
  <c r="A18" i="7" l="1"/>
  <c r="C16" i="7"/>
  <c r="A19" i="7"/>
  <c r="A15" i="15"/>
  <c r="C14" i="15"/>
  <c r="A16" i="15"/>
  <c r="C18" i="7" l="1"/>
  <c r="C19" i="7"/>
  <c r="A20" i="7"/>
  <c r="C20" i="7" s="1"/>
  <c r="A17" i="15"/>
  <c r="A18" i="15"/>
  <c r="A22" i="7" l="1"/>
  <c r="A20" i="15"/>
  <c r="C22" i="7" l="1"/>
  <c r="A23" i="7"/>
  <c r="A21" i="15"/>
  <c r="C20" i="15"/>
  <c r="C23" i="7" l="1"/>
  <c r="A24" i="7"/>
  <c r="A22" i="15"/>
  <c r="C24" i="7" l="1"/>
  <c r="A25" i="7"/>
  <c r="A23" i="15"/>
  <c r="C25" i="7" l="1"/>
  <c r="A26" i="7"/>
  <c r="A24" i="15"/>
  <c r="C26" i="7" l="1"/>
  <c r="A27" i="7"/>
  <c r="A25" i="15"/>
  <c r="C27" i="7" l="1"/>
  <c r="A28" i="7"/>
  <c r="A26" i="15"/>
  <c r="C28" i="7" l="1"/>
  <c r="A29" i="7"/>
  <c r="A27" i="15"/>
  <c r="C29" i="7" l="1"/>
  <c r="A30" i="7"/>
  <c r="A28" i="15"/>
  <c r="C30" i="7" l="1"/>
  <c r="A32" i="7"/>
  <c r="A29" i="15"/>
  <c r="C32" i="7" l="1"/>
  <c r="A33" i="7"/>
  <c r="A30" i="15"/>
  <c r="C33" i="7" l="1"/>
  <c r="A34" i="7"/>
  <c r="A31" i="15"/>
  <c r="C34" i="7" l="1"/>
  <c r="A35" i="7"/>
  <c r="A32" i="15"/>
  <c r="C35" i="7" l="1"/>
  <c r="A37" i="7"/>
  <c r="A33" i="15"/>
  <c r="C37" i="7" l="1"/>
  <c r="A38" i="7"/>
  <c r="A34" i="15"/>
  <c r="C38" i="7" l="1"/>
  <c r="A39" i="7"/>
  <c r="A36" i="15"/>
  <c r="C39" i="7" l="1"/>
  <c r="A40" i="7"/>
  <c r="C36" i="15"/>
  <c r="A38" i="15"/>
  <c r="C40" i="7" l="1"/>
  <c r="A42" i="7"/>
  <c r="C38" i="15"/>
  <c r="A39" i="15"/>
  <c r="C42" i="7" l="1"/>
  <c r="A43" i="7"/>
  <c r="A40" i="15"/>
  <c r="C43" i="7" l="1"/>
  <c r="A44" i="7"/>
  <c r="A41" i="15"/>
  <c r="C44" i="7" l="1"/>
  <c r="A45" i="7"/>
  <c r="A43" i="15"/>
  <c r="C45" i="7" l="1"/>
  <c r="A47" i="7"/>
  <c r="C43" i="15"/>
  <c r="A44" i="15"/>
  <c r="C47" i="7" l="1"/>
  <c r="A48" i="7"/>
  <c r="C44" i="15"/>
  <c r="C48" i="7" l="1"/>
  <c r="A50" i="7"/>
  <c r="C48" i="15"/>
  <c r="A51" i="15"/>
  <c r="C50" i="7" l="1"/>
  <c r="A53" i="7"/>
  <c r="A52" i="15"/>
  <c r="C52" i="15" s="1"/>
  <c r="C51" i="15"/>
  <c r="A53" i="15"/>
  <c r="C53" i="7" l="1"/>
  <c r="A54" i="7"/>
  <c r="A56" i="15"/>
  <c r="C53" i="15"/>
  <c r="C54" i="7" l="1"/>
  <c r="A55" i="7"/>
  <c r="C56" i="15"/>
  <c r="A57" i="15"/>
  <c r="C55" i="7" l="1"/>
  <c r="A56" i="7"/>
  <c r="C57" i="15"/>
  <c r="A58" i="15"/>
  <c r="C56" i="7" l="1"/>
  <c r="A57" i="7"/>
  <c r="C58" i="15"/>
  <c r="A59" i="15"/>
  <c r="A60" i="15" s="1"/>
  <c r="C60" i="15" s="1"/>
  <c r="C57" i="7" l="1"/>
  <c r="A58" i="7"/>
  <c r="A62" i="15"/>
  <c r="C59" i="15"/>
  <c r="C58" i="7" l="1"/>
  <c r="A59" i="7"/>
  <c r="C62" i="15"/>
  <c r="A64" i="15"/>
  <c r="C59" i="7" l="1"/>
  <c r="A60" i="7"/>
  <c r="C64" i="15"/>
  <c r="A65" i="15"/>
  <c r="C60" i="7" l="1"/>
  <c r="A62" i="7"/>
  <c r="C65" i="15"/>
  <c r="A66" i="15"/>
  <c r="C62" i="7" l="1"/>
  <c r="A63" i="7"/>
  <c r="C66" i="15"/>
  <c r="A67" i="15"/>
  <c r="C63" i="7" l="1"/>
  <c r="A64" i="7"/>
  <c r="C67" i="15"/>
  <c r="A68" i="15"/>
  <c r="C64" i="7" l="1"/>
  <c r="A65" i="7"/>
  <c r="C68" i="15"/>
  <c r="A70" i="15"/>
  <c r="C65" i="7" l="1"/>
  <c r="A66" i="7"/>
  <c r="C70" i="15"/>
  <c r="A71" i="15"/>
  <c r="C66" i="7" l="1"/>
  <c r="A68" i="7"/>
  <c r="C71" i="15"/>
  <c r="A72" i="15"/>
  <c r="C68" i="7" l="1"/>
  <c r="A69" i="7"/>
  <c r="C72" i="15"/>
  <c r="A73" i="15"/>
  <c r="C69" i="7" l="1"/>
  <c r="A70" i="7"/>
  <c r="C73" i="15"/>
  <c r="A74" i="15"/>
  <c r="C70" i="7" l="1"/>
  <c r="A71" i="7"/>
  <c r="C74" i="15"/>
  <c r="A75" i="15"/>
  <c r="C71" i="7" l="1"/>
  <c r="A72" i="7"/>
  <c r="C75" i="15"/>
  <c r="A76" i="15"/>
  <c r="C72" i="7" l="1"/>
  <c r="A73" i="7"/>
  <c r="C76" i="15"/>
  <c r="A77" i="15"/>
  <c r="C73" i="7" l="1"/>
  <c r="A74" i="7"/>
  <c r="C77" i="15"/>
  <c r="A78" i="15"/>
  <c r="C74" i="7" l="1"/>
  <c r="A75" i="7"/>
  <c r="C78" i="15"/>
  <c r="A79" i="15"/>
  <c r="C75" i="7" l="1"/>
  <c r="A76" i="7"/>
  <c r="C79" i="15"/>
  <c r="A80" i="15"/>
  <c r="C76" i="7" l="1"/>
  <c r="A78" i="7"/>
  <c r="C80" i="15"/>
  <c r="A81" i="15"/>
  <c r="C78" i="7" l="1"/>
  <c r="A79" i="7"/>
  <c r="C81" i="15"/>
  <c r="A82" i="15"/>
  <c r="C79" i="7" l="1"/>
  <c r="A80" i="7"/>
  <c r="C82" i="15"/>
  <c r="A83" i="15"/>
  <c r="C80" i="7" l="1"/>
  <c r="A81" i="7"/>
  <c r="C83" i="15"/>
  <c r="A86" i="15"/>
  <c r="C86" i="15" s="1"/>
  <c r="A84" i="15"/>
  <c r="C81" i="7" l="1"/>
  <c r="A83" i="7"/>
  <c r="C84" i="15"/>
  <c r="A87" i="15"/>
  <c r="C83" i="7" l="1"/>
  <c r="A84" i="7"/>
  <c r="C87" i="15"/>
  <c r="A89" i="15"/>
  <c r="C84" i="7" l="1"/>
  <c r="A85" i="7"/>
  <c r="C89" i="15"/>
  <c r="A90" i="15"/>
  <c r="C85" i="7" l="1"/>
  <c r="A86" i="7"/>
  <c r="C90" i="15"/>
  <c r="A91" i="15"/>
  <c r="C86" i="7" l="1"/>
  <c r="A88" i="7"/>
  <c r="C91" i="15"/>
  <c r="A92" i="15"/>
  <c r="C88" i="7" l="1"/>
  <c r="A89" i="7"/>
  <c r="C92" i="15"/>
  <c r="C89" i="7" l="1"/>
  <c r="A90" i="7"/>
  <c r="C94" i="15"/>
  <c r="C97" i="15"/>
  <c r="C90" i="7" l="1"/>
  <c r="A91" i="7"/>
  <c r="C95" i="15"/>
  <c r="C98" i="15"/>
  <c r="C91" i="7" l="1"/>
  <c r="A93" i="7"/>
  <c r="C99" i="15"/>
  <c r="C93" i="7" l="1"/>
  <c r="A94" i="7"/>
  <c r="C102" i="15"/>
  <c r="C104" i="15"/>
  <c r="C103" i="15"/>
  <c r="C94" i="7" l="1"/>
  <c r="A96" i="7"/>
  <c r="C96" i="7" l="1"/>
  <c r="A99" i="7"/>
  <c r="C99" i="7" l="1"/>
  <c r="A102" i="7"/>
  <c r="C102" i="7" l="1"/>
  <c r="A103" i="7"/>
  <c r="C103" i="7" l="1"/>
  <c r="A105" i="7"/>
  <c r="C105" i="7" l="1"/>
  <c r="A106" i="7"/>
  <c r="C106" i="7" l="1"/>
  <c r="A107" i="7"/>
  <c r="C107" i="7" l="1"/>
  <c r="A108" i="7"/>
  <c r="C108" i="7" s="1"/>
  <c r="A91" i="1" l="1"/>
  <c r="A92" i="1" s="1"/>
  <c r="A93" i="1" l="1"/>
  <c r="A132" i="1" s="1"/>
  <c r="A133" i="1" s="1"/>
  <c r="I13" i="12"/>
  <c r="H13" i="12"/>
  <c r="G13" i="12"/>
  <c r="A134" i="1" l="1"/>
  <c r="F4" i="12"/>
  <c r="E4" i="12"/>
  <c r="D4" i="12"/>
  <c r="F5" i="12"/>
  <c r="E5" i="12"/>
  <c r="D5" i="12"/>
  <c r="F6" i="12"/>
  <c r="E6" i="12"/>
  <c r="D6" i="12"/>
  <c r="E7" i="12"/>
  <c r="D7" i="12"/>
  <c r="F8" i="12"/>
  <c r="E8" i="12"/>
  <c r="D8" i="12"/>
  <c r="F9" i="12"/>
  <c r="E9" i="12"/>
  <c r="D9" i="12"/>
  <c r="F10" i="12"/>
  <c r="E10" i="12"/>
  <c r="D10" i="12"/>
  <c r="F11" i="12"/>
  <c r="E11" i="12"/>
  <c r="D11" i="12"/>
  <c r="C11" i="12" s="1"/>
  <c r="H11" i="12" s="1"/>
  <c r="F12" i="12"/>
  <c r="E12" i="12"/>
  <c r="D12" i="12"/>
  <c r="F13" i="12"/>
  <c r="E13" i="12"/>
  <c r="D13" i="12"/>
  <c r="D14" i="12"/>
  <c r="E14" i="12"/>
  <c r="F14" i="12"/>
  <c r="C12" i="12" l="1"/>
  <c r="G12" i="12" s="1"/>
  <c r="C7" i="12"/>
  <c r="G7" i="12" s="1"/>
  <c r="C10" i="12"/>
  <c r="G10" i="12" s="1"/>
  <c r="C9" i="12"/>
  <c r="H9" i="12" s="1"/>
  <c r="C6" i="12"/>
  <c r="I6" i="12" s="1"/>
  <c r="C5" i="12"/>
  <c r="I5" i="12" s="1"/>
  <c r="C4" i="12"/>
  <c r="I4" i="12" s="1"/>
  <c r="C8" i="12"/>
  <c r="G8" i="12" s="1"/>
  <c r="I11" i="12"/>
  <c r="G11" i="12"/>
  <c r="C13" i="12"/>
  <c r="C14" i="12"/>
  <c r="H14" i="12" s="1"/>
  <c r="E15" i="12"/>
  <c r="D15" i="12"/>
  <c r="I12" i="12" l="1"/>
  <c r="H12" i="12"/>
  <c r="I7" i="12"/>
  <c r="H7" i="12"/>
  <c r="H10" i="12"/>
  <c r="I10" i="12"/>
  <c r="G9" i="12"/>
  <c r="I9" i="12"/>
  <c r="G6" i="12"/>
  <c r="H6" i="12"/>
  <c r="G5" i="12"/>
  <c r="H5" i="12"/>
  <c r="G4" i="12"/>
  <c r="H4" i="12"/>
  <c r="H8" i="12"/>
  <c r="I8" i="12"/>
  <c r="I14" i="12"/>
  <c r="G14" i="12"/>
  <c r="C15" i="12"/>
</calcChain>
</file>

<file path=xl/sharedStrings.xml><?xml version="1.0" encoding="utf-8"?>
<sst xmlns="http://schemas.openxmlformats.org/spreadsheetml/2006/main" count="8239" uniqueCount="2064">
  <si>
    <t>Test Level</t>
  </si>
  <si>
    <t>SYS.5</t>
  </si>
  <si>
    <t>Sequence Number</t>
  </si>
  <si>
    <t>System Requirement ID</t>
  </si>
  <si>
    <t>Test Case</t>
  </si>
  <si>
    <t>Design Method</t>
  </si>
  <si>
    <t>Precondition</t>
  </si>
  <si>
    <t>Test Procedure</t>
  </si>
  <si>
    <t>Expected Output</t>
  </si>
  <si>
    <t>Actual Output</t>
  </si>
  <si>
    <t>Judgement Result</t>
  </si>
  <si>
    <t>Defect ID</t>
  </si>
  <si>
    <t>ID</t>
  </si>
  <si>
    <t>Name</t>
  </si>
  <si>
    <t>Priority</t>
  </si>
  <si>
    <t>Author</t>
  </si>
  <si>
    <t>1.1 Session Layer Test</t>
  </si>
  <si>
    <t>1.General
2.DiagnosticServices</t>
  </si>
  <si>
    <t>Diag_0x10_Phy_001</t>
  </si>
  <si>
    <t>Service 0x10 Default To Default</t>
  </si>
  <si>
    <t>High</t>
  </si>
  <si>
    <t>陈亚-80025578</t>
  </si>
  <si>
    <t>Based on analysis of requirements</t>
  </si>
  <si>
    <t>1.Power On;</t>
  </si>
  <si>
    <t>1.Send DiagBy[Physical]Data[10 01];
2.Send DiagBy[Physical]Data[10 01];</t>
  </si>
  <si>
    <t>1.Check DiagData[50 01 00 32 01 F4]Within[50]ms;
2.Check DiagData[50 01 00 32 01 F4]Within[50]ms;</t>
  </si>
  <si>
    <t>Diag_0x10_Phy_002</t>
  </si>
  <si>
    <t>Service 0x10 Default To Programming</t>
  </si>
  <si>
    <t>1.Send DiagBy[Physical]Data[10 01];
2.Send DiagBy[Physical]Data[10 02];</t>
  </si>
  <si>
    <t>Diag_0x10_Phy_003</t>
  </si>
  <si>
    <t>Service 0x10 Default To Extended</t>
  </si>
  <si>
    <t>1.Send DiagBy[Physical]Data[10 01];
2.Send DiagBy[Physical]Data[10 03];</t>
  </si>
  <si>
    <t>1.Check DiagData[50 01 00 32 01 F4]Within[50]ms;
2.Check DiagData[50 03 00 32 01 F4]Within[50]ms;</t>
  </si>
  <si>
    <t>Diag_0x10_Phy_004</t>
  </si>
  <si>
    <t>Service 0x10 Extended To Default</t>
  </si>
  <si>
    <t>1.Send DiagBy[Physical]Data[10 01];
2.Delay[1000]ms;
3.Send DiagBy[Physical]Data[10 03];
4.Send DiagBy[Physical]Data[10 01];</t>
  </si>
  <si>
    <t>1.Check DiagData[50 01 00 32 01 F4]Within[50]ms;
3.Check DiagData[50 03 00 32 01 F4]Within[50]ms;
4.Check DiagData[50 01 00 32 01 F4]Within[50]ms;</t>
  </si>
  <si>
    <t>Diag_0x10_Phy_005</t>
  </si>
  <si>
    <t>Service 0x10 Extended To Programming</t>
  </si>
  <si>
    <t>Diag_0x10_Phy_006</t>
  </si>
  <si>
    <t>Service 0x10 Extended To Extended</t>
  </si>
  <si>
    <t>1.Send DiagBy[Physical]Data[10 01];
2.Delay[1000]ms;
3.Send DiagBy[Physical]Data[10 03];
4.Send DiagBy[Physical]Data[10 03];</t>
  </si>
  <si>
    <t>1.Check DiagData[50 01 00 32 01 F4]Within[50]ms;
3.Check DiagData[50 03 00 32 01 F4]Within[50]ms;
4.Check DiagData[50 03 00 32 01 F4]Within[50]ms;</t>
  </si>
  <si>
    <t>1.2 SPRMIB Test</t>
  </si>
  <si>
    <t>Diag_0x10_Phy_007</t>
  </si>
  <si>
    <t>Diag_0x10_Phy_008</t>
  </si>
  <si>
    <t>Diag_0x10_Phy_009</t>
  </si>
  <si>
    <t>Diag_0x10_Phy_011</t>
  </si>
  <si>
    <t>Diag_0x10_Phy_012</t>
  </si>
  <si>
    <t>1.3 Secure Access Test</t>
  </si>
  <si>
    <t>Diag_0x10_Phy_013</t>
  </si>
  <si>
    <t>Security access L1 unlock supports jumping to Programming Session</t>
  </si>
  <si>
    <t>1.4 ECU Reset Test</t>
  </si>
  <si>
    <t>Diag_0x10_Phy_014</t>
  </si>
  <si>
    <t>ECU Power reset Session returns to the Default Session</t>
  </si>
  <si>
    <t>Low</t>
  </si>
  <si>
    <t>Diag_0x10_Phy_015</t>
  </si>
  <si>
    <t>ECU Hard Reset reset Session returns to the Default Session</t>
  </si>
  <si>
    <t>1.5 Sub-function Traversal Test</t>
  </si>
  <si>
    <t>Diag_0x10_Phy_016</t>
  </si>
  <si>
    <t>Subfunction traversal test in the Default Session</t>
  </si>
  <si>
    <t>Medium</t>
  </si>
  <si>
    <t>1.Send DiagBy[Physical]Data[10 01];
2.Send SubTraversalBy[Physical]Service[0x10]Excluding[01 02 03 81 83]AndCheckResp[0x12];</t>
  </si>
  <si>
    <t>1.Check DiagData[50 01 00 32 01 F4]Within[50]ms;</t>
  </si>
  <si>
    <t>Diag_0x10_Phy_017</t>
  </si>
  <si>
    <t>Subfunction traversal test in the Extended Session</t>
  </si>
  <si>
    <t>1.Send DiagBy[Physical]Data[10 01];
2.Delay[1000]ms;
3.Send DiagBy[Physical]Data[10 03];
4.Send SubTraversalBy[Physical]Service[0x10]Excluding[01 02 03 81 83]AndCheckResp[0x12];</t>
  </si>
  <si>
    <t>1.Check DiagData[50 01 00 32 01 F4]Within[50]ms;
3.Check DiagData[50 03 00 32 01 F4]Within[50]ms;</t>
  </si>
  <si>
    <t>1.6 S3 Server Timer Test</t>
  </si>
  <si>
    <t>Diag_0x10_Phy_018</t>
  </si>
  <si>
    <t>S3Server maintains the Session without timeout</t>
  </si>
  <si>
    <t>S3Server returns to the default Session upon timeout</t>
  </si>
  <si>
    <t>1.7 Incorrect Diagnostic Command Test</t>
  </si>
  <si>
    <t>Diag_0x10_Phy_020</t>
  </si>
  <si>
    <t>Valid SF_DL=2, invalid SF_DL &gt; 2 returns NRC 0x13</t>
  </si>
  <si>
    <t>1.Send DiagBy[Physical]Data[10 01];
2.Send DiagBy[Physical]Data[10 01]WithLen[3];</t>
  </si>
  <si>
    <t>1.Check DiagData[50 01 00 32 01 F4]Within[50]ms;
2.Check DiagData[7F 10 13]Within[50]ms;</t>
  </si>
  <si>
    <t>Diag_0x10_Phy_021</t>
  </si>
  <si>
    <t>Valid SF_DL=2, invalid SF_DL &lt; 2 returns NRC 0x13</t>
  </si>
  <si>
    <t>1.Send DiagBy[Physical]Data[10 01];
2.Send DiagBy[Physical]Data[10 01]WithLen[1];</t>
  </si>
  <si>
    <t>1.8 NRC Priority Test</t>
  </si>
  <si>
    <t>Diag_0x10_Phy_022</t>
  </si>
  <si>
    <t>NRC 13(min Size) &gt; 12</t>
  </si>
  <si>
    <t>Diag_0x10_Phy_023</t>
  </si>
  <si>
    <t>NRC 12 &gt; 7E</t>
  </si>
  <si>
    <t>1.Check DiagData[50 01 00 32 01 F4]Within[50]ms;
2.Check DiagData[7F 10 12]Within[50]ms;</t>
  </si>
  <si>
    <t>Diag_0x10_Phy_025</t>
  </si>
  <si>
    <t>2.Application Service\_Functional Addressing</t>
  </si>
  <si>
    <t>2.1 Session Layer Test</t>
  </si>
  <si>
    <t>3.1 Session Layer Test</t>
  </si>
  <si>
    <t>Diag_0x10_Phy_027</t>
  </si>
  <si>
    <t>Diag_0x10_Phy_029</t>
  </si>
  <si>
    <t>4.1 Session Layer Test</t>
  </si>
  <si>
    <t>Diag_0x11_Phy_001</t>
  </si>
  <si>
    <t>Default Session nonsupport 0x11 services</t>
  </si>
  <si>
    <t>Diag_0x11_Phy_002</t>
  </si>
  <si>
    <t>Programming Session support the 0x11 service 0x01 subfunction</t>
  </si>
  <si>
    <t>Diag_0x11_Phy_003</t>
  </si>
  <si>
    <t>Extended Session support the 0x11 service 0x01 subfunction</t>
  </si>
  <si>
    <t>Diag_0x11_Phy_004</t>
  </si>
  <si>
    <t>Default Session nonsupport 0x11 services with SPRMIB</t>
  </si>
  <si>
    <t>Diag_0x11_Phy_005</t>
  </si>
  <si>
    <t>Programming Session support the 0x11 service 0x01 subfunction with SPRMIB</t>
  </si>
  <si>
    <t>Diag_0x11_Phy_006</t>
  </si>
  <si>
    <t>Extended Session support the 0x11 service 0x01 subfunction with SPRMIB</t>
  </si>
  <si>
    <t>Diag_0x11_Phy_007</t>
  </si>
  <si>
    <t>Security access L1 unlock supports 0x11 service 0x01 subfunction</t>
  </si>
  <si>
    <t>1.4.1 Service Reset</t>
  </si>
  <si>
    <t>Diag_0x11_Phy_008</t>
  </si>
  <si>
    <t>0x11 Service 0x01 subfunction non-Default Session to Default Session</t>
  </si>
  <si>
    <t>1.4.2 Security Access Reset</t>
  </si>
  <si>
    <t>Diag_0x11_Phy_009</t>
  </si>
  <si>
    <t>0x11 Service 0x01 subfunction Security access reset</t>
  </si>
  <si>
    <t>1.4.3 Communication Control State Reset</t>
  </si>
  <si>
    <t>0x11 Service 0x01 subfunction communication control state reset</t>
  </si>
  <si>
    <t>Diag_0x11_Phy_011</t>
  </si>
  <si>
    <t>Diag_0x11_Phy_012</t>
  </si>
  <si>
    <t>Subfunction traversal test in the Programming Session</t>
  </si>
  <si>
    <t>Diag_0x11_Phy_013</t>
  </si>
  <si>
    <t>Diag_0x11_Phy_014</t>
  </si>
  <si>
    <t>When a diagnostic message with DLC &lt; 8 is sent, ECU does not respond</t>
  </si>
  <si>
    <t>Diag_0x11_Phy_015</t>
  </si>
  <si>
    <t>When a diagnostic message with DLC &gt; 8 is sent, ECU responds normally</t>
  </si>
  <si>
    <t>NRC Priority Test</t>
  </si>
  <si>
    <t>Diag_0x11_Phy_016</t>
  </si>
  <si>
    <t>Diag_0x11_Phy_017</t>
  </si>
  <si>
    <t>NRC 12 &gt; 7F</t>
  </si>
  <si>
    <t>Diag_0x11_Phy_018</t>
  </si>
  <si>
    <t>Diag_0x11_Phy_019</t>
  </si>
  <si>
    <t>Voltage Condition Test (NRC 0x22)</t>
  </si>
  <si>
    <t>Diag_0x11_Phy_020</t>
  </si>
  <si>
    <t>When the preset voltage condition is not met (low voltage), NRC: 0x22 is reported</t>
  </si>
  <si>
    <t>Diag_0x11_Phy_021</t>
  </si>
  <si>
    <t>When the preset voltage condition is not met (high voltage), NRC: 0x22 is reported</t>
  </si>
  <si>
    <t>1.7 Functional Addressing Test</t>
  </si>
  <si>
    <t>Diag_0x11_Phy_022</t>
  </si>
  <si>
    <t>0x11 Service nonsupport functional addressing subfunction 0x01</t>
  </si>
  <si>
    <t>Diag_0x11_Phy_023</t>
  </si>
  <si>
    <t>0x11 Service nonsupport functional addressing subfunction 0x02</t>
  </si>
  <si>
    <t>Diag_0x11_Phy_024</t>
  </si>
  <si>
    <t>0x11 Service nonsupport functional addressing subfunction 0x03</t>
  </si>
  <si>
    <t>Diag_0x11_Phy_026</t>
  </si>
  <si>
    <t>Diag_0x11_Phy_027</t>
  </si>
  <si>
    <t>Diag_0x11_Phy_029</t>
  </si>
  <si>
    <t>Diag_0x11_Phy_030</t>
  </si>
  <si>
    <t>Diag_0x11_Phy_036</t>
  </si>
  <si>
    <t>Diag_0x11_Phy_037</t>
  </si>
  <si>
    <t>Diag_0x11_Phy_039</t>
  </si>
  <si>
    <t>Diag_0x11_Phy_041</t>
  </si>
  <si>
    <t>Diag_0x11_Phy_042</t>
  </si>
  <si>
    <t>Diag_0x11_Phy_043</t>
  </si>
  <si>
    <t>Diag_0x11_Phy_045</t>
  </si>
  <si>
    <t>Diag_0x14_Phy_001</t>
  </si>
  <si>
    <t>Default Session support 0x14 services</t>
  </si>
  <si>
    <t>Diag_0x14_Phy_002</t>
  </si>
  <si>
    <t>Programming Session nonsupport 0x14 services</t>
  </si>
  <si>
    <t>Diag_0x14_Phy_003</t>
  </si>
  <si>
    <t>Extended Session support 0x14 services</t>
  </si>
  <si>
    <t>1.2 Secure Access Test</t>
  </si>
  <si>
    <t>Diag_0x14_Phy_004</t>
  </si>
  <si>
    <t>Security access L1 unlock supports 0x14 services</t>
  </si>
  <si>
    <t>Security access L2 unlock supports 0x14 services</t>
  </si>
  <si>
    <t>1.3 Clear DTC Function Test</t>
  </si>
  <si>
    <t>Diag_0x14_Phy_006</t>
  </si>
  <si>
    <t>Failure is not recorded supports 0x14 Service</t>
  </si>
  <si>
    <t>Diag_0x14_Phy_007</t>
  </si>
  <si>
    <t>0x14 service cleared 1 fault with status "09"</t>
  </si>
  <si>
    <t>Diag_0x14_Phy_008</t>
  </si>
  <si>
    <t>0x14 service cleared multiple fault with status "09"</t>
  </si>
  <si>
    <t>Diag_0x14_Phy_009</t>
  </si>
  <si>
    <t>0x14 service cleared 1 fault with status "08"</t>
  </si>
  <si>
    <t>Diag_0x14_Phy_010</t>
  </si>
  <si>
    <t>0x14 service cleared multiple fault with status "08"</t>
  </si>
  <si>
    <t>1.4 Incorrect Diagnostic Command Test</t>
  </si>
  <si>
    <t>Diag_0x14_Phy_011</t>
  </si>
  <si>
    <t>Valid SF_DL=4, invalid SF_DL &gt; 4, and those with invalid equivalence class SF_DL=5</t>
  </si>
  <si>
    <t>Diag_0x14_Phy_012</t>
  </si>
  <si>
    <t>Valid SF_DL=4, invalid SF_DL &lt; 4, and those with invalid equivalence class SF_DL=3</t>
  </si>
  <si>
    <t>1.5 NRC Priority Test</t>
  </si>
  <si>
    <t>Diag_0x14_Phy_013</t>
  </si>
  <si>
    <t>NRC 13&gt;31</t>
  </si>
  <si>
    <t>Diag_0x14_Fun_001</t>
  </si>
  <si>
    <t>Diag_0x14_Fun_002</t>
  </si>
  <si>
    <t>Diag_0x14_Fun_003</t>
  </si>
  <si>
    <t>2.2 Secure Access Test</t>
  </si>
  <si>
    <t>Diag_0x14_Fun_004</t>
  </si>
  <si>
    <t>Diag_0x14_Fun_005</t>
  </si>
  <si>
    <t>2.3 Clear DTC Function Test</t>
  </si>
  <si>
    <t>Diag_0x14_Fun_006</t>
  </si>
  <si>
    <t>Diag_0x14_Fun_007</t>
  </si>
  <si>
    <t>Diag_0x14_Fun_008</t>
  </si>
  <si>
    <t>Diag_0x14_Fun_009</t>
  </si>
  <si>
    <t>Diag_0x14_Fun_010</t>
  </si>
  <si>
    <t>2.4 Incorrect Diagnostic Command Test</t>
  </si>
  <si>
    <t>Diag_0x14_Fun_011</t>
  </si>
  <si>
    <t>Diag_0x14_Fun_012</t>
  </si>
  <si>
    <t>2.5 NRC Priority Test</t>
  </si>
  <si>
    <t>Diag_0x14_Fun_013</t>
  </si>
  <si>
    <t>Diag_0x14_Phy_014</t>
  </si>
  <si>
    <t>Default Session nonsupport 0x14 services in Boot</t>
  </si>
  <si>
    <t>Diag_0x14_Phy_015</t>
  </si>
  <si>
    <t>Programming Session nonsupport 0x14 services in Boot</t>
  </si>
  <si>
    <t>Diag_0x14_Phy_016</t>
  </si>
  <si>
    <t>Extended Session nonsupport 0x14 services in Boot</t>
  </si>
  <si>
    <t>Diag_0x14_Fun_014</t>
  </si>
  <si>
    <t>Diag_0x14_Fun_015</t>
  </si>
  <si>
    <t>Diag_0x14_Fun_016</t>
  </si>
  <si>
    <t>Diag_0x22_Phy_001</t>
  </si>
  <si>
    <t>Default Session supports reading DID: 0xF6C3 PositiveCase-$22</t>
  </si>
  <si>
    <t>Diag_0x22_Phy_002</t>
  </si>
  <si>
    <t>Default Session supports reading DID: 0xF6C4 PositiveCase-$22</t>
  </si>
  <si>
    <t>Diag_0x22_Phy_003</t>
  </si>
  <si>
    <t>Default Session supports reading DID: 0xF6C5 PositiveCase-$22</t>
  </si>
  <si>
    <t>Diag_0x22_Phy_004</t>
  </si>
  <si>
    <t>Default Session supports reading DID: 0xF6C0 PositiveCase-$22</t>
  </si>
  <si>
    <t>Diag_0x22_Phy_005</t>
  </si>
  <si>
    <t>Diag_0x22_Phy_006</t>
  </si>
  <si>
    <t>Diag_0x22_Phy_007</t>
  </si>
  <si>
    <t>Diag_0x22_Phy_008</t>
  </si>
  <si>
    <t>1.3 Boot Session Layer Test</t>
  </si>
  <si>
    <t>Diag_0x22_Phy_009</t>
  </si>
  <si>
    <t>Diag_0x22_Phy_010</t>
  </si>
  <si>
    <t>Diag_0x22_Phy_011</t>
  </si>
  <si>
    <t>Diag_0x22_Phy_012</t>
  </si>
  <si>
    <t>1.5 Incorrect Diagnostic Command Test</t>
  </si>
  <si>
    <t>Diag_0x22_Phy_028</t>
  </si>
  <si>
    <t>Diag_0x22_Phy_029</t>
  </si>
  <si>
    <t>1.6 NRC Priority Test</t>
  </si>
  <si>
    <t>Diag_0x22_Phy_030</t>
  </si>
  <si>
    <t>Diag_0x22_Phy_031</t>
  </si>
  <si>
    <t>Diag_0x22_Phy_032</t>
  </si>
  <si>
    <t>Check No_Response Within[1000]ms;</t>
  </si>
  <si>
    <t>Diag_0x22_Fun_040</t>
  </si>
  <si>
    <t>Diag_0x22_Fun_041</t>
  </si>
  <si>
    <t>Diag_0x22_Fun_042</t>
  </si>
  <si>
    <t>Diag_0x22_Fun_043</t>
  </si>
  <si>
    <t>APP Physical Addressing Test Cases</t>
  </si>
  <si>
    <t>Default Session nonsupport 0x27 Service security access level 1 Negativecase-$27</t>
  </si>
  <si>
    <t>Check DiagData[7F 27 7F]Within[50]ms;</t>
  </si>
  <si>
    <t>Diag_0x27_Phy_002</t>
  </si>
  <si>
    <t>Default Session nonsupport 0x27 Service security access level 2 Negativecase-$27</t>
  </si>
  <si>
    <t>Diag_0x27_Phy_003</t>
  </si>
  <si>
    <t>Programming Session support 0x27 Service security access level 1 PositiveResponsecase-$27</t>
  </si>
  <si>
    <t>Check DiagData[67 02]Within[50]ms;</t>
  </si>
  <si>
    <t>Diag_0x27_Phy_004</t>
  </si>
  <si>
    <t>Programming Session support 0x27 Service security access level 2 PositiveResponsecase-$27</t>
  </si>
  <si>
    <t>Check DiagData[67 04]Within[50]ms;</t>
  </si>
  <si>
    <t>Diag_0x27_Phy_005</t>
  </si>
  <si>
    <t>Extended Session support 0x27 Service security access level 1 PositiveResponsecase-$27</t>
  </si>
  <si>
    <t>Diag_0x27_Phy_006</t>
  </si>
  <si>
    <t>Extended Session support 0x27 Service security access level 2 PositiveResponsecase-$27</t>
  </si>
  <si>
    <t>1.2 Secure Access Process Test</t>
  </si>
  <si>
    <t>Diag_0x27_Phy_007</t>
  </si>
  <si>
    <t>Does not meet the secure access process, only requests seeds, a negative test case where secure access cannot be unlocked</t>
  </si>
  <si>
    <t>Check DiagData[67 01 XX XX XX XX]Within[50]ms;</t>
  </si>
  <si>
    <t>Diag_0x27_Phy_008</t>
  </si>
  <si>
    <t>Does not meet the secure access process, only sending the key; a negative test case</t>
  </si>
  <si>
    <t>Check DiagData[7F 27 24]Within[50]ms;</t>
  </si>
  <si>
    <t>Diag_0x27_Phy_009</t>
  </si>
  <si>
    <t>Meet the secure access process: request the seed first, then send the key – a PositiveResponse use case</t>
  </si>
  <si>
    <t>Diag_0x27_Phy_010</t>
  </si>
  <si>
    <t>Failure to comply with the secure access process: sending the key first, then requesting the seed (same level)</t>
  </si>
  <si>
    <t>Diag_0x27_Phy_011</t>
  </si>
  <si>
    <t>Failure to comply with the secure access process: sending the key first, then requesting the seed (cross level)</t>
  </si>
  <si>
    <t>Diag_0x27_Phy_012</t>
  </si>
  <si>
    <t>Repeated seed requests return the same seed data - PositiveResponse</t>
  </si>
  <si>
    <t>Check DiagData[67 01 XX XX XX XX]Within[50]ms;
(两次返回的 seed 数据完全相同)</t>
  </si>
  <si>
    <t>Diag_0x27_Phy_013</t>
  </si>
  <si>
    <t>After successful unlock, request seed returns all zeros - PositiveResponse</t>
  </si>
  <si>
    <t>Check DiagData[67 01 00 00 00 00]Within[50]ms;</t>
  </si>
  <si>
    <t>Path A: Wrong Key Path</t>
  </si>
  <si>
    <t>Diag_0x27_Phy_014</t>
  </si>
  <si>
    <t>Meets the maximum of 3 failed attempts (wrong key); does not meet the reverse test case with a lockout time of 10 seconds</t>
  </si>
  <si>
    <t>Check DiagData[7F 27 37]Within[50]ms;</t>
  </si>
  <si>
    <t>Diag_0x27_Phy_015</t>
  </si>
  <si>
    <t>A PositiveResponse test case that meets a maximum of 3 failed attempts (wrong key) and a lockout duration of 10 seconds</t>
  </si>
  <si>
    <t>Diag_0x27_Phy_016</t>
  </si>
  <si>
    <t>A negative test case where the maximum number of secure access attempts (with incorrect keys) is reached and the 10-second delay has not expired</t>
  </si>
  <si>
    <t>Diag_0x27_Phy_017</t>
  </si>
  <si>
    <t>When the maximum number of safe access attempts (wrong key) = 4 is reached, successfully unlock once to reset counter</t>
  </si>
  <si>
    <t>Check DiagData[7F 27 36]Within[50]ms;</t>
  </si>
  <si>
    <t>Diag_0x27_Phy_018</t>
  </si>
  <si>
    <t>SAcounter equals 3 after reset when FAAflag = True (wrong key) - PositiveResponse</t>
  </si>
  <si>
    <t>Diag_0x27_Phy_019</t>
  </si>
  <si>
    <t>SAcounter after reset when FAAflag = False (wrong key) - PositiveResponse</t>
  </si>
  <si>
    <t>Diag_0x27_Phy_020</t>
  </si>
  <si>
    <t>Hardware reset enabled 10s delay time (wrong key) - PositiveResponse</t>
  </si>
  <si>
    <t>Diag_0x27_Phy_021</t>
  </si>
  <si>
    <t>Reverse test case for reaching the maximum number of safe access attempts (wrong key) and the 10-second delay</t>
  </si>
  <si>
    <t>Path B: Consecutive Seed Request Path</t>
  </si>
  <si>
    <t>Diag_0x27_Phy_022</t>
  </si>
  <si>
    <t>Meets the maximum of 3 failed attempts (request seed); does not meet the reverse test case with a lockout time of 10 seconds</t>
  </si>
  <si>
    <t>Diag_0x27_Phy_023</t>
  </si>
  <si>
    <t>A PositiveResponse test case that meets a maximum of 3 failed attempts (request seed) and a lockout duration of 10 seconds</t>
  </si>
  <si>
    <t>Diag_0x27_Phy_024</t>
  </si>
  <si>
    <t>A negative test case where the maximum number of secure access attempts (request seed) is reached and the 10-second delay has not expired</t>
  </si>
  <si>
    <t>Diag_0x27_Phy_025</t>
  </si>
  <si>
    <t>When the maximum number of safe access attempts (request seed) = 4 is reached, successfully unlock once to reset counter</t>
  </si>
  <si>
    <t>Diag_0x27_Phy_026</t>
  </si>
  <si>
    <t>SAcounter equals 3 after reset when FAAflag = True (request seed) - PositiveResponse</t>
  </si>
  <si>
    <t>Diag_0x27_Phy_027</t>
  </si>
  <si>
    <t>SAcounter after reset when FAAflag = False (request seed) - PositiveResponse</t>
  </si>
  <si>
    <t>Diag_0x27_Phy_028</t>
  </si>
  <si>
    <t>Hardware reset enabled 10s delay time (request seed) - PositiveResponse</t>
  </si>
  <si>
    <t>Diag_0x27_Phy_029</t>
  </si>
  <si>
    <t>Reverse test case for reaching the maximum number of safe access attempts (request seed) and the 10-second delay</t>
  </si>
  <si>
    <t>1.4 Secure Access Time Test</t>
  </si>
  <si>
    <t>Diag_0x27_Phy_030</t>
  </si>
  <si>
    <t>Duration after unlocking: 5s - PositiveResponse Response Case-$27</t>
  </si>
  <si>
    <t>1.5 ECU Reset Test</t>
  </si>
  <si>
    <t>Diag_0x27_Phy_031</t>
  </si>
  <si>
    <t>ECU power reset Session returns to the DefaultSession PositiveResponseCase-$27</t>
  </si>
  <si>
    <t>Diag_0x27_Phy_032</t>
  </si>
  <si>
    <t>ECU Hardware reset Session returns to the DefaultSession PositiveResponseCase-$27</t>
  </si>
  <si>
    <t>Diag_0x27_Phy_033</t>
  </si>
  <si>
    <t>Switch default Session 0x27 Security access level reset NegativeCase-$27</t>
  </si>
  <si>
    <t>Diag_0x27_Phy_034</t>
  </si>
  <si>
    <t>Software reset, security access function normal request to the seed PositiveResponsecase-$27</t>
  </si>
  <si>
    <t>1.6 SPRMIB Test</t>
  </si>
  <si>
    <t>Diag_0x27_Phy_035</t>
  </si>
  <si>
    <t>The 0x27 nonsupport SPRMIB Negativecase-$27</t>
  </si>
  <si>
    <t>Check DiagData[7F 27 12]Within[50]ms;</t>
  </si>
  <si>
    <t>Diag_0x27_Phy_036</t>
  </si>
  <si>
    <t>Valid SF_DL=2, invalid SF_DL &gt; 2, and those with invalid equivalence class SF_DL=3 NegativeCase-$27</t>
  </si>
  <si>
    <t>Check DiagData[7F 27 13]Within[50]ms;</t>
  </si>
  <si>
    <t>Diag_0x27_Phy_037</t>
  </si>
  <si>
    <t>Valid SF_DL=2, invalid SF_DL &lt; 2, and those with invalid equivalence class SF_DL=1 NegativeCase-$27</t>
  </si>
  <si>
    <t>Diag_0x27_Phy_038</t>
  </si>
  <si>
    <t>NRC 13&gt;12&gt;37&gt;22</t>
  </si>
  <si>
    <t>APP Functional Addressing Test Cases</t>
  </si>
  <si>
    <t>1.9 Functional Addressing Test (APP)</t>
  </si>
  <si>
    <t>Diag_0x27_Fun_039</t>
  </si>
  <si>
    <t>Default Session Functional addressing 0x27 Service No_Response case-$27</t>
  </si>
  <si>
    <t>Diag_0x27_Fun_040</t>
  </si>
  <si>
    <t>Extended Session Functional addressing 0x27 Service No_Response case-$27</t>
  </si>
  <si>
    <t>Boot Physical Addressing Test Cases</t>
  </si>
  <si>
    <t>2.1 Boot Session Layer Test</t>
  </si>
  <si>
    <t>Diag_0x27_Phy_041</t>
  </si>
  <si>
    <t>Boot Default Session nonsupport 0x27 Service security access level 1 Negativecase-$27</t>
  </si>
  <si>
    <t>Diag_0x27_Phy_042</t>
  </si>
  <si>
    <t>Boot Default Session nonsupport 0x27 Service security access level 2 Negativecase-$27</t>
  </si>
  <si>
    <t>Diag_0x27_Phy_043</t>
  </si>
  <si>
    <t>Boot Programming Session support 0x27 Service security access level 1 PositiveResponsecase-$27</t>
  </si>
  <si>
    <t>Diag_0x27_Phy_044</t>
  </si>
  <si>
    <t>Boot Programming Session support 0x27 Service security access level 2 PositiveResponsecase-$27</t>
  </si>
  <si>
    <t>Diag_0x27_Phy_045</t>
  </si>
  <si>
    <t>Boot Extended Session support 0x27 Service security access level 1 PositiveResponsecase-$27</t>
  </si>
  <si>
    <t>Diag_0x27_Phy_046</t>
  </si>
  <si>
    <t>Boot Extended Session support 0x27 Service security access level 2 PositiveResponsecase-$27</t>
  </si>
  <si>
    <t>2.2 Boot Secure Access Process Test</t>
  </si>
  <si>
    <t>Diag_0x27_Phy_047</t>
  </si>
  <si>
    <t>Boot - Does not meet the secure access process, only requests seeds</t>
  </si>
  <si>
    <t>Diag_0x27_Phy_048</t>
  </si>
  <si>
    <t>Boot - Does not meet the secure access process, only sending the key; a negative test case</t>
  </si>
  <si>
    <t>Diag_0x27_Phy_049</t>
  </si>
  <si>
    <t>Boot - Meet the secure access process: request the seed first, then send the key – a PositiveResponse use case</t>
  </si>
  <si>
    <t>Diag_0x27_Phy_050</t>
  </si>
  <si>
    <t>Boot - Failure to comply with the secure access process: sending the key first, then requesting the seed (same level)</t>
  </si>
  <si>
    <t>Diag_0x27_Phy_051</t>
  </si>
  <si>
    <t>Boot - Failure to comply with the secure access process: sending the key first, then requesting the seed (cross level)</t>
  </si>
  <si>
    <t>Diag_0x27_Phy_052</t>
  </si>
  <si>
    <t>Boot - Repeated seed requests return the same seed data - PositiveResponse</t>
  </si>
  <si>
    <t>Diag_0x27_Phy_053</t>
  </si>
  <si>
    <t>Boot - After successful unlock, request seed returns all zeros - PositiveResponse</t>
  </si>
  <si>
    <t>Diag_0x27_Phy_054</t>
  </si>
  <si>
    <t>Boot - Meets the maximum of 3 failed attempts (wrong key); does not meet the reverse test case with a lockout time of 10 seconds</t>
  </si>
  <si>
    <t>Diag_0x27_Phy_055</t>
  </si>
  <si>
    <t>Boot - A PositiveResponse test case that meets a maximum of 3 failed attempts (wrong key) and a lockout duration of 10 seconds</t>
  </si>
  <si>
    <t>Diag_0x27_Phy_056</t>
  </si>
  <si>
    <t>Boot - A negative test case where the maximum number of secure access attempts (wrong key) is reached and the 10-second delay has not expired</t>
  </si>
  <si>
    <t>Diag_0x27_Phy_057</t>
  </si>
  <si>
    <t>Boot - When the maximum number of safe access attempts (wrong key) = 4 is reached, successfully unlock once to reset counter</t>
  </si>
  <si>
    <t>Diag_0x27_Phy_058</t>
  </si>
  <si>
    <t>Boot - SAcounter equals 3 after reset when FAAflag = True (wrong key) - PositiveResponse</t>
  </si>
  <si>
    <t>Diag_0x27_Phy_059</t>
  </si>
  <si>
    <t>Boot - SAcounter after reset when FAAflag = False (wrong key) - PositiveResponse</t>
  </si>
  <si>
    <t>Diag_0x27_Phy_060</t>
  </si>
  <si>
    <t>Boot - Hardware reset enabled 10s delay time (wrong key) - PositiveResponse</t>
  </si>
  <si>
    <t>Diag_0x27_Phy_061</t>
  </si>
  <si>
    <t>Boot - Reverse test case for reaching the maximum number of safe access attempts (wrong key) and the 10-second delay</t>
  </si>
  <si>
    <t>Diag_0x27_Phy_062</t>
  </si>
  <si>
    <t>Boot - Meets the maximum of 3 failed attempts (request seed); does not meet the reverse test case with a lockout time of 10 seconds</t>
  </si>
  <si>
    <t>Diag_0x27_Phy_063</t>
  </si>
  <si>
    <t>Boot - A PositiveResponse test case that meets a maximum of 3 failed attempts (request seed) and a lockout duration of 10 seconds</t>
  </si>
  <si>
    <t>Diag_0x27_Phy_064</t>
  </si>
  <si>
    <t>Boot - A negative test case where the maximum number of secure access attempts (request seed) is reached and the 10-second delay has not expired</t>
  </si>
  <si>
    <t>Diag_0x27_Phy_065</t>
  </si>
  <si>
    <t>Boot - When the maximum number of safe access attempts (request seed) = 4 is reached, successfully unlock once to reset counter</t>
  </si>
  <si>
    <t>Diag_0x27_Phy_066</t>
  </si>
  <si>
    <t>Boot - SAcounter equals 3 after reset when FAAflag = True (request seed) - PositiveResponse</t>
  </si>
  <si>
    <t>Diag_0x27_Phy_067</t>
  </si>
  <si>
    <t>Boot - SAcounter after reset when FAAflag = False (request seed) - PositiveResponse</t>
  </si>
  <si>
    <t>Diag_0x27_Phy_068</t>
  </si>
  <si>
    <t>Boot - Hardware reset enabled 10s delay time (request seed) - PositiveResponse</t>
  </si>
  <si>
    <t>Diag_0x27_Phy_069</t>
  </si>
  <si>
    <t>Boot - Reverse test case for reaching the maximum number of safe access attempts (request seed) and the 10-second delay</t>
  </si>
  <si>
    <t>2.4 Boot Secure Access Time Test</t>
  </si>
  <si>
    <t>Diag_0x27_Phy_070</t>
  </si>
  <si>
    <t>Boot - Duration after unlocking: 5s - PositiveResponse Response Case-$27</t>
  </si>
  <si>
    <t>2.5 Boot ECU Reset Test</t>
  </si>
  <si>
    <t>Diag_0x27_Phy_071</t>
  </si>
  <si>
    <t>Boot - ECU power reset Session returns to the DefaultSession PositiveResponseCase-$27</t>
  </si>
  <si>
    <t>Diag_0x27_Phy_072</t>
  </si>
  <si>
    <t>Boot - ECU Hardware reset Session returns to the DefaultSession PositiveResponseCase-$27</t>
  </si>
  <si>
    <t>Diag_0x27_Phy_073</t>
  </si>
  <si>
    <t>Boot - Switch default Session 0x27 Security access level reset NegativeCase-$27</t>
  </si>
  <si>
    <t>Diag_0x27_Phy_074</t>
  </si>
  <si>
    <t>Boot - Software reset, security access function normal request to the seed PositiveResponsecase-$27</t>
  </si>
  <si>
    <t>2.6 Boot SPRMIB Test</t>
  </si>
  <si>
    <t>Diag_0x27_Phy_075</t>
  </si>
  <si>
    <t>Boot - The 0x27 nonsupport SPRMIB Negativecase-$27</t>
  </si>
  <si>
    <t>2.7 Boot Incorrect Diagnostic Command Test</t>
  </si>
  <si>
    <t>Diag_0x27_Phy_076</t>
  </si>
  <si>
    <t>Boot - Valid SF_DL=2, invalid SF_DL &gt; 2, and those with invalid equivalence class SF_DL=3 NegativeCase-$27</t>
  </si>
  <si>
    <t>Diag_0x27_Phy_077</t>
  </si>
  <si>
    <t>Boot - Valid SF_DL=2, invalid SF_DL &lt; 2, and those with invalid equivalence class SF_DL=1 NegativeCase-$27</t>
  </si>
  <si>
    <t>2.8 Boot NRC Priority Test</t>
  </si>
  <si>
    <t>Diag_0x27_Phy_078</t>
  </si>
  <si>
    <t>Boot - NRC 13&gt;12&gt;37&gt;22</t>
  </si>
  <si>
    <t>Boot Functional Addressing Test Cases</t>
  </si>
  <si>
    <t>2.9 Functional Addressing Test (Boot)</t>
  </si>
  <si>
    <t>Diag_0x27_Fun_079</t>
  </si>
  <si>
    <t>Boot Default Session Functional addressing 0x27 Service No_Response case-$27</t>
  </si>
  <si>
    <t>Diag_0x27_Fun_080</t>
  </si>
  <si>
    <t>Boot Programming Session Functional addressing 0x27 Service No_Response case-$27</t>
  </si>
  <si>
    <t>Diag_0x27_Fun_081</t>
  </si>
  <si>
    <t>Boot Extended Session Functional addressing 0x27 Service No_Response case-$27</t>
  </si>
  <si>
    <t>Service 0x28 CommunicationControl 测试用例</t>
  </si>
  <si>
    <t>Default Session nonsupport service 0x28 NegativeCase-$28</t>
  </si>
  <si>
    <t>Security access L1 unlock supports support 0x28 service 0x00 subfunction control normal communication messages sending and receiving PositiveResponseCase-$28</t>
  </si>
  <si>
    <t>Security access L1 unlock supports support 0x28 service 0x03 subfunction control normal communication messages sending and receiving PositiveResponseCase-$28</t>
  </si>
  <si>
    <t>Service 0x2E WriteDataByIdentifier 测试用例</t>
  </si>
  <si>
    <t>1.4 NRC Test</t>
  </si>
  <si>
    <t>Diag_0x2E_Phy_001</t>
  </si>
  <si>
    <t>Default Session send 0x2E service not supported</t>
  </si>
  <si>
    <t>Diag_0x2E_Phy_002</t>
  </si>
  <si>
    <t>Extended Session send 0x2E service not supported</t>
  </si>
  <si>
    <t>Diag_0x2E_Phy_003</t>
  </si>
  <si>
    <t>Programming Session send 0x2E service not supported</t>
  </si>
  <si>
    <t>Service 0x31 RoutineControl 测试用例</t>
  </si>
  <si>
    <t>Diag_0x31_Phy_001</t>
  </si>
  <si>
    <t>Default Session nonsupport 0x31 services</t>
  </si>
  <si>
    <t>Diag_0x31_Phy_002</t>
  </si>
  <si>
    <t>Extended Session nonsupport 0x31 service RID 0xDFFE</t>
  </si>
  <si>
    <t>Step 4: 7F 31 31</t>
  </si>
  <si>
    <t>Diag_0x31_Phy_003</t>
  </si>
  <si>
    <t>Extended Session nonsupport 0x31 service RID 0xDFFF</t>
  </si>
  <si>
    <t>Diag_0x31_Phy_004</t>
  </si>
  <si>
    <t>Programming Session support the 0x31 service 0x01 subfunction RID 0xDFFE</t>
  </si>
  <si>
    <t>Step 14: 71 01 DF FE XX XX XX XX</t>
  </si>
  <si>
    <t>Diag_0x31_Phy_005</t>
  </si>
  <si>
    <t>Programming Session support the 0x31 service 0x03 subfunction RID 0xDFFE</t>
  </si>
  <si>
    <t>Step 14: 71 03 DF FE XX XX</t>
  </si>
  <si>
    <t>Diag_0x31_Phy_006</t>
  </si>
  <si>
    <t>Programming Session support the 0x31 service 0x01 subfunction RID 0xDFFF</t>
  </si>
  <si>
    <t>Step 14: 71 01 DF FF XX XX XX XX</t>
  </si>
  <si>
    <t>Diag_0x31_Phy_007</t>
  </si>
  <si>
    <t>Programming Session support the 0x31 service 0x03 subfunction RID 0xDFFF</t>
  </si>
  <si>
    <t>Step 14: 71 03 DF FF XX XX</t>
  </si>
  <si>
    <t>Diag_0x31_Phy_008</t>
  </si>
  <si>
    <t>0x31 service RID 0xDFFE nonsupport 0x02 subfunction</t>
  </si>
  <si>
    <t>Step 14: 7F 31 12</t>
  </si>
  <si>
    <t>Diag_0x31_Phy_009</t>
  </si>
  <si>
    <t>0x31 service RID 0xDFFF nonsupport 0x02 subfunction</t>
  </si>
  <si>
    <t>Diag_0x31_Phy_010</t>
  </si>
  <si>
    <t>Security access L1 not unlocked for 0x31 service 0x01 subfunction RID 0xDFFE</t>
  </si>
  <si>
    <t>Step 11: 7F 31 33</t>
  </si>
  <si>
    <t>Diag_0x31_Phy_011</t>
  </si>
  <si>
    <t>Security access L1 not unlocked for 0x31 service 0x01 subfunction RID 0xDFFF</t>
  </si>
  <si>
    <t>Diag_0x31_Phy_012</t>
  </si>
  <si>
    <t>Security access L1 unlock supports 0x31 service 0x01 subfunction RID 0xDFFE</t>
  </si>
  <si>
    <t>Diag_0x31_Phy_013</t>
  </si>
  <si>
    <t>Security access L1 unlock supports 0x31 service 0x01 subfunction RID 0xDFFF</t>
  </si>
  <si>
    <t>1.3 Routine Condition Test</t>
  </si>
  <si>
    <t>Diag_0x31_Phy_014</t>
  </si>
  <si>
    <t>RID 0xDFFE memory check with abnormal voltage (undervoltage)</t>
  </si>
  <si>
    <t>Step 16: 7F 31 22</t>
  </si>
  <si>
    <t>Diag_0x31_Phy_015</t>
  </si>
  <si>
    <t>RID 0xDFFE memory check with normal voltage recovery</t>
  </si>
  <si>
    <t>Step 16: 71 01 DF FE XX XX XX XX</t>
  </si>
  <si>
    <t>Diag_0x31_Phy_016</t>
  </si>
  <si>
    <t>RID 0xDFFF erase memory with abnormal voltage (undervoltage)</t>
  </si>
  <si>
    <t>Diag_0x31_Phy_017</t>
  </si>
  <si>
    <t>RID 0xDFFF erase memory with normal voltage recovery</t>
  </si>
  <si>
    <t>Step 16: 71 01 DF FF XX XX XX XX</t>
  </si>
  <si>
    <t>Diag_0x31_Phy_018</t>
  </si>
  <si>
    <t>RID 0xDFFE memory check with overvoltage</t>
  </si>
  <si>
    <t>Diag_0x31_Phy_019</t>
  </si>
  <si>
    <t>RID 0xDFFF erase memory with overvoltage</t>
  </si>
  <si>
    <t>1.4 Sub-function Traversal And RID Range Test</t>
  </si>
  <si>
    <t>Diag_0x31_Phy_020</t>
  </si>
  <si>
    <t>Subfunction traversal test for 0x31 service</t>
  </si>
  <si>
    <t>Step 13: 对所有不支持的子功能返回 7F 31 12</t>
  </si>
  <si>
    <t>Diag_0x31_Phy_021</t>
  </si>
  <si>
    <t>RID range traversal test for 0x31 service</t>
  </si>
  <si>
    <t>Step 13: 对所有不支持的 RID 返回 7F 31 31</t>
  </si>
  <si>
    <t>Diag_0x31_Phy_022</t>
  </si>
  <si>
    <t>Step 14: No_Response</t>
  </si>
  <si>
    <t>Diag_0x31_Phy_023</t>
  </si>
  <si>
    <t>Diag_0x31_Phy_024</t>
  </si>
  <si>
    <t>Valid SF_DL=9 for RID 0xDFFE StartRoutine, invalid SF_DL &gt; 9 triggers NRC 0x13</t>
  </si>
  <si>
    <t>Step 14: 7F 31 13</t>
  </si>
  <si>
    <t>Diag_0x31_Phy_025</t>
  </si>
  <si>
    <t>Valid SF_DL=9 for RID 0xDFFE StartRoutine, invalid SF_DL &lt; 9 triggers NRC 0x13</t>
  </si>
  <si>
    <t>Functional Addressing Test</t>
  </si>
  <si>
    <t>Diag_0x31_Fun_001</t>
  </si>
  <si>
    <t>Functional addressing for 0x31 service is not supported</t>
  </si>
  <si>
    <t>Service 0x3E TesterPresent — 完整测试用例</t>
  </si>
  <si>
    <t>1.1 Session Layer Test (APP Physical)</t>
  </si>
  <si>
    <t>Default Session support the 0x3E service 1Case-$3E</t>
  </si>
  <si>
    <t>Diag_0x3E_Phy_002</t>
  </si>
  <si>
    <t>Extended Session support the 0x3E service 1Case-$3E</t>
  </si>
  <si>
    <t>Diag_0x3E_Phy_003</t>
  </si>
  <si>
    <t>Programming Session support the 0x3E service 1Case-$3E</t>
  </si>
  <si>
    <t>1.2 Session Layer Test (APP Functional)</t>
  </si>
  <si>
    <t>2.1 SPRMIB Test (APP Physical)</t>
  </si>
  <si>
    <t>Default Session support the 0x3E service with SPRMIB 1Case-$3E</t>
  </si>
  <si>
    <t>Diag_0x3E_Phy_005</t>
  </si>
  <si>
    <t>Extended Session support the 0x3E service with SPRMIB 1Case-$3E</t>
  </si>
  <si>
    <t>Diag_0x3E_Phy_006</t>
  </si>
  <si>
    <t>Programming Session support the 0x3E service with SPRMIB 1Case-$3E</t>
  </si>
  <si>
    <t>2.2 SPRMIB Test (APP Functional)</t>
  </si>
  <si>
    <t>3.1 Secure Access Test (APP Physical)</t>
  </si>
  <si>
    <t>0x3E service keeps the 0x27 service unlocked state 1Case-$3E</t>
  </si>
  <si>
    <t>Diag_0x3E_Phy_008</t>
  </si>
  <si>
    <t>0x3E service with SPRMIB keeps the 0x27 service unlocked state 1Case-$3E</t>
  </si>
  <si>
    <t>3.2 Secure Access Test (APP Functional)</t>
  </si>
  <si>
    <t>Diag_0x3E_Phy_009</t>
  </si>
  <si>
    <t>Valid equivalence class S3server=4900ms,0x3E service keeping extended Session 1Case-$3E</t>
  </si>
  <si>
    <t>Invalid equivalence class S3server=5100ms,0x3E service does not keeping extended Session NegativeCase-$3E</t>
  </si>
  <si>
    <t>Diag_0x3E_Phy_011</t>
  </si>
  <si>
    <t>Valid equivalence class S3server=4900ms,0x3E service with SPRMIB keeping extended Session 1Case-$3E</t>
  </si>
  <si>
    <t>Diag_0x3E_Phy_012</t>
  </si>
  <si>
    <t>Invalid equivalence class S3server=5100ms,0x3E service with SPRMIB does not keeping extended Session NegativeCase-$3E</t>
  </si>
  <si>
    <t>4.2 S3 Server Timer Test (APP Functional)</t>
  </si>
  <si>
    <t>5.1 ECU Reset Test (APP Physical)</t>
  </si>
  <si>
    <t>Power Reset the 0x3E service to keep the Session back from the extended Session to the default Session NegativeCase-$3E</t>
  </si>
  <si>
    <t>Diag_0x3E_Phy_014</t>
  </si>
  <si>
    <t>Hardware Reset(11 01) the 0x3E service to keep the Session back from the extended Session to the default Session NegativeCase-$3E</t>
  </si>
  <si>
    <t>Session Switch(10 01) the 0x3E service to keep the Session back from the extended Session to the default Session NegativeCase-$3E</t>
  </si>
  <si>
    <t>5.2 ECU Reset Test (APP Functional)</t>
  </si>
  <si>
    <t>6.1 Sub-function Traversal Test (APP Physical)</t>
  </si>
  <si>
    <t>0x3E service Subfunction traversal test NegativeCase-$3E</t>
  </si>
  <si>
    <t>6.2 Sub-function Traversal Test (APP Functional)</t>
  </si>
  <si>
    <t>Diag_0x3E_Fun_016</t>
  </si>
  <si>
    <t>7.1 Incorrect Diagnostic Command Test (APP Physical)</t>
  </si>
  <si>
    <t>Valid SF_DL=2, invalid SF_DL &gt; 2, and those with invalid equivalence class SF_DL=3 NegativeCase-$3E</t>
  </si>
  <si>
    <t>Diag_0x3E_Phy_018</t>
  </si>
  <si>
    <t>Valid SF_DL=2, invalid SF_DL &lt; 2, and those with invalid equivalence class SF_DL=1 NegativeCase-$3E</t>
  </si>
  <si>
    <t>8.1 NRC Priority Test (APP Physical)</t>
  </si>
  <si>
    <t>Diag_0x3E_Phy_019</t>
  </si>
  <si>
    <t>Diag_0x3E_Phy_020</t>
  </si>
  <si>
    <t>NRC 12 NegativeCase-$3E</t>
  </si>
  <si>
    <t>Diag_0x3E_Phy_026</t>
  </si>
  <si>
    <t>Diag_0x3E_Phy_027</t>
  </si>
  <si>
    <t>Diag_0x3E_Phy_034</t>
  </si>
  <si>
    <t>Diag_0x3E_Phy_035</t>
  </si>
  <si>
    <t>Diag_0x3E_Phy_036</t>
  </si>
  <si>
    <t>Diag_0x3E_Fun_022</t>
  </si>
  <si>
    <t>Diag_0x3E_Fun_023</t>
  </si>
  <si>
    <t>Diag_0x3E_Fun_024</t>
  </si>
  <si>
    <t>Diag_0x3E_Fun_029</t>
  </si>
  <si>
    <t>Diag_0x3E_Fun_030</t>
  </si>
  <si>
    <t>Service 0x85 ControlDTCSetting 测试用例</t>
  </si>
  <si>
    <t>Diag_0x85_Phy_001</t>
  </si>
  <si>
    <t>Default Session nonsupport 0x85 service 0x01 subfunction NegativeCase-$85</t>
  </si>
  <si>
    <t>Diag_0x85_Phy_002</t>
  </si>
  <si>
    <t>Default Session nonsupport 0x85 service 0x02 subfunction NegativeCase-$85</t>
  </si>
  <si>
    <t>Diag_0x85_Phy_003</t>
  </si>
  <si>
    <t>Extended Session support the 0x85 service 0x01 subfunction 1Case-$85</t>
  </si>
  <si>
    <t>Diag_0x85_Phy_004</t>
  </si>
  <si>
    <t>Extended Session support the 0x85 service 0x02 subfunction 1Case-$85</t>
  </si>
  <si>
    <t>Diag_0x85_Phy_005</t>
  </si>
  <si>
    <t>Extended Session 0x85 Service format test 0x01 omit mask 1Case-$85</t>
  </si>
  <si>
    <t>Diag_0x85_Phy_006</t>
  </si>
  <si>
    <t>Extended Session 0x85 Service format test 0x02 omit mask 1Case-$85</t>
  </si>
  <si>
    <t>Diag_0x85_Phy_007</t>
  </si>
  <si>
    <t>Default Session nonsupport 0x85 service 0x01 subfunction with SPRMIB NegativeCase-$85</t>
  </si>
  <si>
    <t>Diag_0x85_Phy_008</t>
  </si>
  <si>
    <t>Default Session nonsupport 0x85 service 0x02 subfunction with SPRMIB NegativeCase-$85</t>
  </si>
  <si>
    <t>Diag_0x85_Phy_009</t>
  </si>
  <si>
    <t>Extended Session support 0x85 service 0x01 with SPRMIB 1Case-$85</t>
  </si>
  <si>
    <t>Diag_0x85_Phy_010</t>
  </si>
  <si>
    <t>Extended Session support 0x85 service 0x02 with SPRMIB 1Case-$85</t>
  </si>
  <si>
    <t>Diag_0x85_Phy_011</t>
  </si>
  <si>
    <t>Security access to L1 unlock supports 0x85 service 0x01 subfunction 1Case-$85</t>
  </si>
  <si>
    <t>Diag_0x85_Phy_012</t>
  </si>
  <si>
    <t>Security access to L1 unlock supports 0x85 service 0x02 subfunction 1Case-$85</t>
  </si>
  <si>
    <t>Diag_0x85_Phy_013</t>
  </si>
  <si>
    <t>Security access to L1 unlock supports 0x85 service 0x81 subfunction with SPRMIB 1Case-$85</t>
  </si>
  <si>
    <t>Diag_0x85_Phy_014</t>
  </si>
  <si>
    <t>Security access to L1 unlock supports 0x85 service 0x82 subfunction with SPRMIB 1Case-$85</t>
  </si>
  <si>
    <t>1.4 Sub-function Traversal Test</t>
  </si>
  <si>
    <t>Subfunction traversal test in the Extended Session NegativeCase-$85</t>
  </si>
  <si>
    <t>Diag_0x85_Phy_018</t>
  </si>
  <si>
    <t>Diag_0x85_Phy_019</t>
  </si>
  <si>
    <t>2.1 Session Layer Test (Functional)</t>
  </si>
  <si>
    <t>2.2 SPRMIB Test (Functional)</t>
  </si>
  <si>
    <t>2.3 Secure Access Test (Functional)</t>
  </si>
  <si>
    <t>2.4 Sub-function Traversal Test (Functional)</t>
  </si>
  <si>
    <t>2.5 Incorrect Diagnostic Command Test (Functional)</t>
  </si>
  <si>
    <t>3.1 Session Layer Test (Boot Physical)</t>
  </si>
  <si>
    <t>Diag_0x85_Phy_022</t>
  </si>
  <si>
    <t>Programming Session nonsupport 0x85 service 0x01 subfunction NegativeCase-$85</t>
  </si>
  <si>
    <t>Programming Session nonsupport 0x85 service 0x02 subfunction NegativeCase-$85</t>
  </si>
  <si>
    <t>Programming Session 0x85 Service format test 0x01 omit mask NegativeCase-$85</t>
  </si>
  <si>
    <t>Programming Session 0x85 Service format test 0x02 omit mask NegativeCase-$85</t>
  </si>
  <si>
    <t>3.2 SPRMIB Test (Boot Physical)</t>
  </si>
  <si>
    <t>Programming Session nonsupport 0x85 service 0x01 subfunction with SPRMIB NegativeCase-$85</t>
  </si>
  <si>
    <t>Programming Session nonsupport 0x85 service 0x02 subfunction with SPRMIB NegativeCase-$85</t>
  </si>
  <si>
    <t>Extended Session nonsupport 0x85 service 0x01 subfunction with SPRMIB NegativeCase-$85</t>
  </si>
  <si>
    <t>Extended Session nonsupport 0x85 service 0x02 subfunction with SPRMIB NegativeCase-$85</t>
  </si>
  <si>
    <t>3.3 Secure Access Test (Boot Physical)</t>
  </si>
  <si>
    <t>Security access to LevelFBL unlock nonsupport 0x85 service 0x01 subfunction NegativeCase-$85</t>
  </si>
  <si>
    <t>Security access to LevelFBL unlock nonsupport 0x85 service 0x02 subfunction NegativeCase-$85</t>
  </si>
  <si>
    <t>Security access to LevelFBL unlock nonsupport 0x85 service 0x81 subfunction with SPRMIB NegativeCase-$85</t>
  </si>
  <si>
    <t>Security access to LevelFBL unlock nonsupport 0x85 service 0x82 subfunction with SPRMIB NegativeCase-$85</t>
  </si>
  <si>
    <t>3.4 Sub-function Traversal Test (Boot Physical)</t>
  </si>
  <si>
    <t>Subfunction traversal test in the Programming Session NegativeCase-$85</t>
  </si>
  <si>
    <t>3.5 Incorrect Diagnostic Command Test (Boot Physical)</t>
  </si>
  <si>
    <t>3.6 NRC Priority Test (Boot Physical)</t>
  </si>
  <si>
    <t>4.1 Session Layer Test (Boot Functional)</t>
  </si>
  <si>
    <t>4.2 SPRMIB Test (Boot Functional)</t>
  </si>
  <si>
    <t>Diag_0x85_Fun_024</t>
  </si>
  <si>
    <t>Diag_0x85_Fun_026</t>
  </si>
  <si>
    <t>Diag_0x85_Fun_027</t>
  </si>
  <si>
    <t>4.3 Secure Access Test (Boot Functional)</t>
  </si>
  <si>
    <t>Diag_0x85_Fun_028</t>
  </si>
  <si>
    <t>4.4 Sub-function Traversal Test (Boot Functional)</t>
  </si>
  <si>
    <t>Diag_0x85_Fun_030</t>
  </si>
  <si>
    <t>4.5 Incorrect Diagnostic Command Test (Boot Functional)</t>
  </si>
  <si>
    <t>Diag_0x85_Fun_031</t>
  </si>
  <si>
    <t>Diag_0x85_Fun_032</t>
  </si>
  <si>
    <t>Does not respond when sending diagnostic DLC &lt; 8 NegativeCase-$85</t>
    <phoneticPr fontId="4" type="noConversion"/>
  </si>
  <si>
    <t>Send diagnostic DLC &gt; 8 times normal response PositiveCase-$85</t>
    <phoneticPr fontId="4" type="noConversion"/>
  </si>
  <si>
    <t>Valid SF_DL=5, invalid SF_DL &gt; 5, and those with invalid equivalence class SF_DL=6  NegativeCase-$85</t>
    <phoneticPr fontId="4" type="noConversion"/>
  </si>
  <si>
    <t>Valid SF_DL=5, invalid SF_DL &lt; 5, and those with invalid equivalence class SF_DL=4 NegativeCase-$85</t>
    <phoneticPr fontId="4" type="noConversion"/>
  </si>
  <si>
    <t>缺少DLC的测试</t>
    <phoneticPr fontId="4" type="noConversion"/>
  </si>
  <si>
    <t>NRC 13&gt;12 SF_DL=1 NegativeCase-$85</t>
    <phoneticPr fontId="4" type="noConversion"/>
  </si>
  <si>
    <t>补充用例，需求中NRC 13&gt;12&gt;22,缺少NRC 13&gt;22</t>
    <phoneticPr fontId="4" type="noConversion"/>
  </si>
  <si>
    <t>需要同时制造NRC 13与NRC 12，此时改变DCL与SubFuncation就可以实现</t>
    <phoneticPr fontId="4" type="noConversion"/>
  </si>
  <si>
    <t>1.Power On;</t>
    <phoneticPr fontId="4" type="noConversion"/>
  </si>
  <si>
    <t>1.Send DiagBy[Physical]Data[10 03];
设置车速等于10km/h
2.Set Signal[TachographVehicleSpeed]Value[10];
3.Send DiagBy[Physical]Data[85 04];</t>
    <phoneticPr fontId="4" type="noConversion"/>
  </si>
  <si>
    <t>NRC 12&gt;22 Vehicle Speech &gt;3km/h NegativeCase-$85</t>
    <phoneticPr fontId="4" type="noConversion"/>
  </si>
  <si>
    <t>NRC 13&gt;22 Vehicle Speech &gt;3km/h NegativeCase-$85</t>
    <phoneticPr fontId="4" type="noConversion"/>
  </si>
  <si>
    <t>Test result statistics</t>
    <phoneticPr fontId="12" type="noConversion"/>
  </si>
  <si>
    <t>Test item</t>
    <phoneticPr fontId="12" type="noConversion"/>
  </si>
  <si>
    <t xml:space="preserve">                    Test result
Total cases</t>
    <phoneticPr fontId="12" type="noConversion"/>
  </si>
  <si>
    <t>Pass</t>
    <phoneticPr fontId="12" type="noConversion"/>
  </si>
  <si>
    <t>Fail</t>
    <phoneticPr fontId="12" type="noConversion"/>
  </si>
  <si>
    <t>失败率</t>
    <phoneticPr fontId="12" type="noConversion"/>
  </si>
  <si>
    <t>需求未覆盖</t>
    <phoneticPr fontId="4" type="noConversion"/>
  </si>
  <si>
    <t>ECUReset_0x11</t>
    <phoneticPr fontId="4" type="noConversion"/>
  </si>
  <si>
    <t>ClearDiagnosticInformation_0x14</t>
    <phoneticPr fontId="4" type="noConversion"/>
  </si>
  <si>
    <t>ReadDTCInformation_0x19</t>
    <phoneticPr fontId="4" type="noConversion"/>
  </si>
  <si>
    <t>ReadDataByIdentifier_0x22</t>
    <phoneticPr fontId="4" type="noConversion"/>
  </si>
  <si>
    <t>SecurityAccess_0x27</t>
    <phoneticPr fontId="4" type="noConversion"/>
  </si>
  <si>
    <t>CommunicationControl_0x28</t>
    <phoneticPr fontId="4" type="noConversion"/>
  </si>
  <si>
    <t>WriteDataByIdentifier_0x2E</t>
    <phoneticPr fontId="4" type="noConversion"/>
  </si>
  <si>
    <t>RoutineControl_0x31</t>
    <phoneticPr fontId="4" type="noConversion"/>
  </si>
  <si>
    <t>TesterPresent_0x3E</t>
    <phoneticPr fontId="4" type="noConversion"/>
  </si>
  <si>
    <t>ControlDTCSettings_0x85</t>
    <phoneticPr fontId="4" type="noConversion"/>
  </si>
  <si>
    <t>Total</t>
    <phoneticPr fontId="12" type="noConversion"/>
  </si>
  <si>
    <r>
      <t>Software Version</t>
    </r>
    <r>
      <rPr>
        <sz val="12"/>
        <color theme="1"/>
        <rFont val="宋体"/>
        <family val="3"/>
        <charset val="134"/>
      </rPr>
      <t>：</t>
    </r>
    <phoneticPr fontId="4" type="noConversion"/>
  </si>
  <si>
    <r>
      <t>Hardware Version</t>
    </r>
    <r>
      <rPr>
        <sz val="12"/>
        <color theme="1"/>
        <rFont val="宋体"/>
        <family val="3"/>
        <charset val="134"/>
      </rPr>
      <t>：</t>
    </r>
    <phoneticPr fontId="4" type="noConversion"/>
  </si>
  <si>
    <r>
      <t>Test Time</t>
    </r>
    <r>
      <rPr>
        <sz val="12"/>
        <color theme="1"/>
        <rFont val="宋体"/>
        <family val="3"/>
        <charset val="134"/>
      </rPr>
      <t>：</t>
    </r>
    <phoneticPr fontId="4" type="noConversion"/>
  </si>
  <si>
    <r>
      <t>Tester</t>
    </r>
    <r>
      <rPr>
        <sz val="12"/>
        <color theme="1"/>
        <rFont val="宋体"/>
        <family val="3"/>
        <charset val="134"/>
      </rPr>
      <t>：</t>
    </r>
    <phoneticPr fontId="4" type="noConversion"/>
  </si>
  <si>
    <t>Test conclusion</t>
    <phoneticPr fontId="12" type="noConversion"/>
  </si>
  <si>
    <t>No Pass</t>
  </si>
  <si>
    <r>
      <t>Comment</t>
    </r>
    <r>
      <rPr>
        <sz val="12"/>
        <color theme="1"/>
        <rFont val="宋体"/>
        <family val="3"/>
        <charset val="134"/>
      </rPr>
      <t xml:space="preserve">：
</t>
    </r>
    <r>
      <rPr>
        <sz val="12"/>
        <color theme="1"/>
        <rFont val="Times New Roman"/>
        <family val="1"/>
      </rPr>
      <t>P</t>
    </r>
    <r>
      <rPr>
        <sz val="12"/>
        <color theme="1"/>
        <rFont val="宋体"/>
        <family val="3"/>
        <charset val="134"/>
      </rPr>
      <t>：</t>
    </r>
    <r>
      <rPr>
        <sz val="12"/>
        <color theme="1"/>
        <rFont val="Times New Roman"/>
        <family val="1"/>
      </rPr>
      <t>The test result is consistent with the expected result, the test passed.
F</t>
    </r>
    <r>
      <rPr>
        <sz val="12"/>
        <color theme="1"/>
        <rFont val="宋体"/>
        <family val="3"/>
        <charset val="134"/>
      </rPr>
      <t>：</t>
    </r>
    <r>
      <rPr>
        <sz val="12"/>
        <color theme="1"/>
        <rFont val="Times New Roman"/>
        <family val="1"/>
      </rPr>
      <t>The test result is not consistent with the expected result, the test failed.
NT</t>
    </r>
    <r>
      <rPr>
        <sz val="12"/>
        <color theme="1"/>
        <rFont val="宋体"/>
        <family val="3"/>
        <charset val="134"/>
      </rPr>
      <t>：</t>
    </r>
    <r>
      <rPr>
        <sz val="12"/>
        <color theme="1"/>
        <rFont val="Times New Roman"/>
        <family val="1"/>
      </rPr>
      <t>The current test environment is not satisfied or the software is not developed.
NA</t>
    </r>
    <r>
      <rPr>
        <sz val="12"/>
        <color theme="1"/>
        <rFont val="宋体"/>
        <family val="3"/>
        <charset val="134"/>
      </rPr>
      <t>：</t>
    </r>
    <r>
      <rPr>
        <sz val="12"/>
        <color theme="1"/>
        <rFont val="Times New Roman"/>
        <family val="1"/>
      </rPr>
      <t>Use case not applicable or not selected.</t>
    </r>
    <phoneticPr fontId="12" type="noConversion"/>
  </si>
  <si>
    <t>需求覆盖缺失</t>
    <phoneticPr fontId="4" type="noConversion"/>
  </si>
  <si>
    <t>Pass</t>
  </si>
  <si>
    <t>Fail</t>
  </si>
  <si>
    <t>Block</t>
  </si>
  <si>
    <r>
      <t>Pass:</t>
    </r>
    <r>
      <rPr>
        <sz val="12"/>
        <color rgb="FFFF0000"/>
        <rFont val="宋体"/>
        <family val="3"/>
        <charset val="134"/>
      </rPr>
      <t>表示test case合格</t>
    </r>
    <phoneticPr fontId="4" type="noConversion"/>
  </si>
  <si>
    <r>
      <t>Fail:</t>
    </r>
    <r>
      <rPr>
        <sz val="12"/>
        <color rgb="FFFF0000"/>
        <rFont val="宋体"/>
        <family val="3"/>
        <charset val="134"/>
      </rPr>
      <t>表示</t>
    </r>
    <r>
      <rPr>
        <sz val="12"/>
        <color rgb="FFFF0000"/>
        <rFont val="Times New Roman"/>
        <family val="1"/>
      </rPr>
      <t>Test case</t>
    </r>
    <r>
      <rPr>
        <sz val="12"/>
        <color rgb="FFFF0000"/>
        <rFont val="宋体"/>
        <family val="3"/>
        <charset val="134"/>
      </rPr>
      <t>不合格</t>
    </r>
    <phoneticPr fontId="4" type="noConversion"/>
  </si>
  <si>
    <r>
      <t>Block:</t>
    </r>
    <r>
      <rPr>
        <sz val="12"/>
        <color rgb="FFFF0000"/>
        <rFont val="宋体"/>
        <family val="3"/>
        <charset val="134"/>
      </rPr>
      <t>表示Test case缺失</t>
    </r>
    <phoneticPr fontId="4" type="noConversion"/>
  </si>
  <si>
    <t>Service 0x27仅支持Level 1</t>
    <phoneticPr fontId="4" type="noConversion"/>
  </si>
  <si>
    <t>Diag_0x85_Phy_017</t>
    <phoneticPr fontId="4" type="noConversion"/>
  </si>
  <si>
    <t>Diag_0x85_Phy_020</t>
    <phoneticPr fontId="4" type="noConversion"/>
  </si>
  <si>
    <t>Diag_0x85_Phy_021</t>
    <phoneticPr fontId="4" type="noConversion"/>
  </si>
  <si>
    <t>Diag_0x85_Fun_023</t>
    <phoneticPr fontId="4" type="noConversion"/>
  </si>
  <si>
    <t>Diag_0x85_Fun_029</t>
    <phoneticPr fontId="4" type="noConversion"/>
  </si>
  <si>
    <t>Diag_0x85_Fun_033</t>
    <phoneticPr fontId="4" type="noConversion"/>
  </si>
  <si>
    <t>Diag_0x85_Fun_034</t>
  </si>
  <si>
    <t>Diag_0x85_Fun_036</t>
    <phoneticPr fontId="4" type="noConversion"/>
  </si>
  <si>
    <t>Diag_0x85_Fun_037</t>
  </si>
  <si>
    <t>Diag_0x85_Fun_038</t>
  </si>
  <si>
    <t>Diag_0x85_Fun_039</t>
  </si>
  <si>
    <t>Diag_0x85_Phy_040</t>
    <phoneticPr fontId="4" type="noConversion"/>
  </si>
  <si>
    <t>Diag_0x85_Phy_041</t>
  </si>
  <si>
    <t>Diag_0x85_Phy_042</t>
  </si>
  <si>
    <t>Diag_0x85_Phy_043</t>
  </si>
  <si>
    <t>Diag_0x85_Phy_044</t>
  </si>
  <si>
    <t>Diag_0x85_Phy_045</t>
  </si>
  <si>
    <t>Diag_0x85_Phy_046</t>
    <phoneticPr fontId="4" type="noConversion"/>
  </si>
  <si>
    <t>Diag_0x85_Phy_047</t>
  </si>
  <si>
    <t>Diag_0x85_Phy_048</t>
  </si>
  <si>
    <t>Diag_0x85_Phy_049</t>
  </si>
  <si>
    <t>Diag_0x85_Phy_050</t>
  </si>
  <si>
    <t>Diag_0x85_Phy_051</t>
  </si>
  <si>
    <t>Diag_0x85_Phy_052</t>
    <phoneticPr fontId="4" type="noConversion"/>
  </si>
  <si>
    <t>Diag_0x85_Phy_053</t>
  </si>
  <si>
    <t>Diag_0x85_Phy_054</t>
  </si>
  <si>
    <t>Diag_0x85_Phy_055</t>
  </si>
  <si>
    <t>Diag_0x85_Phy_056</t>
    <phoneticPr fontId="4" type="noConversion"/>
  </si>
  <si>
    <t>Diag_0x85_Phy_057</t>
    <phoneticPr fontId="4" type="noConversion"/>
  </si>
  <si>
    <t>Diag_0x85_Phy_058</t>
  </si>
  <si>
    <t>Diag_0x85_Phy_059</t>
  </si>
  <si>
    <t>Diag_0x85_Phy_060</t>
  </si>
  <si>
    <t>Diag_0x85_Phy_061</t>
    <phoneticPr fontId="4" type="noConversion"/>
  </si>
  <si>
    <t>Diag_0x85_Phy_062</t>
  </si>
  <si>
    <t>Diag_0x85_Phy_063</t>
  </si>
  <si>
    <t>Diag_0x85_Fun_064</t>
    <phoneticPr fontId="4" type="noConversion"/>
  </si>
  <si>
    <t>Diag_0x85_Fun_065</t>
  </si>
  <si>
    <t>Diag_0x85_Fun_066</t>
  </si>
  <si>
    <t>Diag_0x85_Fun_067</t>
  </si>
  <si>
    <t>Diag_0x85_Fun_068</t>
  </si>
  <si>
    <t>Diag_0x85_Fun_069</t>
  </si>
  <si>
    <t>Diag_0x85_Fun_070</t>
    <phoneticPr fontId="4" type="noConversion"/>
  </si>
  <si>
    <t>Diag_0x85_Fun_071</t>
  </si>
  <si>
    <t>Diag_0x85_Fun_072</t>
  </si>
  <si>
    <t>Diag_0x85_Fun_073</t>
  </si>
  <si>
    <t>Diag_0x85_Fun_074</t>
    <phoneticPr fontId="4" type="noConversion"/>
  </si>
  <si>
    <t>Diag_0x85_Fun_075</t>
  </si>
  <si>
    <t>Diag_0x85_Fun_076</t>
    <phoneticPr fontId="4" type="noConversion"/>
  </si>
  <si>
    <t>Diag_0x85_Fun_077</t>
    <phoneticPr fontId="4" type="noConversion"/>
  </si>
  <si>
    <t>Diag_0x85_Fun_078</t>
  </si>
  <si>
    <t>Diag_0x85_Fun_079</t>
  </si>
  <si>
    <t>Diag_0x85_Fun_080</t>
  </si>
  <si>
    <t>不需要对Step 2额外进行结果检查，因为函数已经具备自检功能"AndCheckResp"</t>
    <phoneticPr fontId="4" type="noConversion"/>
  </si>
  <si>
    <t>Diag_0x85_Phy_015</t>
    <phoneticPr fontId="4" type="noConversion"/>
  </si>
  <si>
    <t>Diag_0x85_Phy_016</t>
    <phoneticPr fontId="4" type="noConversion"/>
  </si>
  <si>
    <t>缺少DLC的测试</t>
    <phoneticPr fontId="4" type="noConversion"/>
  </si>
  <si>
    <t>Diag_0x85_Fun_025</t>
    <phoneticPr fontId="4" type="noConversion"/>
  </si>
  <si>
    <t>Diag_0x85_Fun_035</t>
    <phoneticPr fontId="4" type="noConversion"/>
  </si>
  <si>
    <t>格式错误，不应该存在Step 字样，应该是 1.xxxx</t>
    <phoneticPr fontId="4" type="noConversion"/>
  </si>
  <si>
    <t>Diag_0x3E_Phy_001</t>
    <phoneticPr fontId="4" type="noConversion"/>
  </si>
  <si>
    <t>1.Check DiagData[7F 3E 13]Within[50]ms;</t>
  </si>
  <si>
    <t>1.Send DiagBy[Physical]Data[3E 01]WithLen[1];</t>
  </si>
  <si>
    <t>1.Send DiagBy[Physical]Data[3E 0A];</t>
  </si>
  <si>
    <t>1.Check DiagData[7F 3E 12]Within[50]ms;</t>
  </si>
  <si>
    <t>1.Send DiagBy[Physical]Data[10 01];
2.Send DiagBy[Physical]Data[3E 00];</t>
  </si>
  <si>
    <t>1.Send DiagBy[Physical]Data[10 03];
2.Send DiagBy[Physical]Data[3E 00];</t>
  </si>
  <si>
    <t>1.Send DiagBy[Physical]Data[10 01];
2.Send DiagBy[Functional]Data[3E 00];</t>
  </si>
  <si>
    <t>1.Send DiagBy[Physical]Data[10 03];
2.Send DiagBy[Functional]Data[3E 00];</t>
  </si>
  <si>
    <t>1.Send DiagBy[Physical]Data[10 01];
2.Send DiagBy[Physical]Data[3E 80];</t>
  </si>
  <si>
    <t>1.Send DiagBy[Physical]Data[10 03];
2.Send DiagBy[Physical]Data[3E 80];</t>
  </si>
  <si>
    <t>1.Send DiagBy[Physical]Data[10 01];
2.Send DiagBy[Functional]Data[3E 80];</t>
  </si>
  <si>
    <t>1.Send DiagBy[Physical]Data[10 03];
2.Send DiagBy[Functional]Data[3E 80];</t>
  </si>
  <si>
    <t>1.Send DiagBy[Physical]Data[10 03];
2.Send SubTraversalBy[Physical]Service[0x3E]Excluding[00 80]AndCheckResp[0x12];</t>
  </si>
  <si>
    <t>1.Send DiagBy[Physical]Data[10 03];
2.Send SubTraversalBy[Functional]Service[0x3E]Excluding[00 80]AndCheckResp[0x12];</t>
  </si>
  <si>
    <t>1.Send DiagBy[Physical]Data[10 03];
3.Send DiagBy[Physical]Data[10 02];
4.Send DiagBy[Physical]Data[3E 00];</t>
    <phoneticPr fontId="4" type="noConversion"/>
  </si>
  <si>
    <t>1.Send DiagBy[Physical]Data[10 03];
3.Send DiagBy[Physical]Data[10 02];
4.Send DiagBy[Functional]Data[3E 00];</t>
    <phoneticPr fontId="4" type="noConversion"/>
  </si>
  <si>
    <t>1.Send DiagBy[Physical]Data[10 03];
3.Send DiagBy[Physical]Data[10 02];
4.Send DiagBy[Physical]Data[3E 80];</t>
    <phoneticPr fontId="4" type="noConversion"/>
  </si>
  <si>
    <t>1.Send DiagBy[Physical]Data[10 03];
3.Send DiagBy[Physical]Data[10 02];
4.Send DiagBy[Functional]Data[3E 80];</t>
    <phoneticPr fontId="4" type="noConversion"/>
  </si>
  <si>
    <t>1.Send DiagBy[Physical]Data[10 03];
2.Send DiagBy[Physical]Data[27 01]AndCheckResp[1];
3.Send Security Right KeyBy[Physical]Level[0x2];
4.Delay[1000]ms;
5.Send DiagBy[Physical]Data[3E 00];
6.Delay[4900]ms;</t>
    <phoneticPr fontId="4" type="noConversion"/>
  </si>
  <si>
    <t>1.Send DiagBy[Physical]Data[10 03];
2.Send DiagBy[Physical]Data[27 01]AndCheckResp[1];
3.Send Security Right KeyBy[Physical]Level[0x2];
4.Delay[1000]ms;
5.Send DiagBy[Physical]Data[3E 80];
6.Delay[4900]ms;</t>
    <phoneticPr fontId="4" type="noConversion"/>
  </si>
  <si>
    <t>1.Send DiagBy[Physical]Data[10 03];
2.Send DiagBy[Physical]Data[27 01]AndCheckResp[1];
3.Send Security Right KeyBy[Physical]Level[0x2];
4.Delay[1000]ms;
5.Send DiagBy[Functional]Data[3E 00];
6.Delay[4900]ms;</t>
    <phoneticPr fontId="4" type="noConversion"/>
  </si>
  <si>
    <t>1.Send DiagBy[Physical]Data[10 03];
2.Send DiagBy[Physical]Data[27 01]AndCheckResp[1];
3.Send Security Right KeyBy[Physical]Level[0x2];
4.Delay[1000]ms;
5.Send DiagBy[Functional]Data[3E 80];
6.Delay[4900]ms;</t>
    <phoneticPr fontId="4" type="noConversion"/>
  </si>
  <si>
    <t>1.Send DiagBy[Physical]Data[10 03];
2.Delay[1000]ms;
3.Send DiagBy[Physical]Data[3E 00];
4.Delay[4900]ms;
5.Send DiagBy[Physical]Data[27 01]AndCheckResp[1];</t>
    <phoneticPr fontId="4" type="noConversion"/>
  </si>
  <si>
    <t>1.Send DiagBy[Physical]Data[10 03];
2.Delay[1000]ms;
3.Send DiagBy[Physical]Data[3E 80];
4.Delay[4900]ms;
5.Send DiagBy[Physical]Data[27 01]AndCheckResp[1];</t>
    <phoneticPr fontId="4" type="noConversion"/>
  </si>
  <si>
    <t>1.Send DiagBy[Physical]Data[10 03];
2.Delay[1000]ms;
3.Send DiagBy[Physical]Data[3E 00];
4.Delay[5100]ms;
5.Send DiagBy[Physical]Data[27 01]AndCheckResp[0x7F];</t>
    <phoneticPr fontId="4" type="noConversion"/>
  </si>
  <si>
    <t>1.Send DiagBy[Physical]Data[10 03];
2.Delay[1000]ms;
3.Send DiagBy[Physical]Data[3E 80];
4.Delay[5100]ms;
5.Send DiagBy[Physical]Data[27 01]AndCheckResp[0x7F];</t>
    <phoneticPr fontId="4" type="noConversion"/>
  </si>
  <si>
    <t>1.Send DiagBy[Physical]Data[10 03];
2.Delay[1000]ms;
3.Send DiagBy[Fun]Data[3E 00];
4.Delay[4900]ms;
5.Send DiagBy[Physical]Data[27 01]AndCheckResp[1];</t>
    <phoneticPr fontId="4" type="noConversion"/>
  </si>
  <si>
    <t>1.Send DiagBy[Physical]Data[10 03];
2.Delay[1000]ms;
3.Send DiagBy[Fun]Data[3E 00];
4.Delay[5100]ms;
5.Send DiagBy[Physical]Data[27 01]AndCheckResp[0x7F];</t>
    <phoneticPr fontId="4" type="noConversion"/>
  </si>
  <si>
    <t>1.Send DiagBy[Physical]Data[10 03];
2.Delay[1000]ms;
3.Send DiagBy[Fun]Data[3E 80];
4.Delay[4900]ms;
5.Send DiagBy[Physical]Data[27 01]AndCheckResp[1];</t>
    <phoneticPr fontId="4" type="noConversion"/>
  </si>
  <si>
    <t>1.Send DiagBy[Physical]Data[10 03];
2.Delay[1000]ms;
3.Send DiagBy[Fun]Data[3E 80];
4.Delay[5100]ms;
5.Send DiagBy[Physical]Data[27 01]AndCheckResp[0x7F];</t>
    <phoneticPr fontId="4" type="noConversion"/>
  </si>
  <si>
    <t>1.Send DiagBy[Physical]Data[10 03];
2.Delay[1000]ms;
3.Send DiagBy[Physical]Data[3E 00];
4.Delay[1000]ms;
5.Set Voltage[0]V;
6.Delay[1000]ms;
7.Set Voltage[12]V;
8.Delay[1000]ms;
9.Send DiagBy[Physical]Data[27 01]AndCheckResp[0x7F];</t>
    <phoneticPr fontId="4" type="noConversion"/>
  </si>
  <si>
    <t>1.Send DiagBy[Physical]Data[10 03];
2.Delay[1000]ms;
3.Send DiagBy[Physical]Data[3E 00];
4.Delay[1000]ms;
5.Send DiagBy[Physical]Data[11 01];
6.Delay[1000]ms;
7.Send DiagBy[Physical]Data[27 01]AndCheckResp[0x7F];</t>
    <phoneticPr fontId="4" type="noConversion"/>
  </si>
  <si>
    <t>1.Send DiagBy[Physical]Data[10 03];
2.Delay[1000]ms;
3.Send DiagBy[Physical]Data[3E 00];
4.Delay[1000]ms;
5.Send DiagBy[Physical]Data[10 01];
6.Delay[1000]ms;
7.Send DiagBy[Physical]Data[27 01]AndCheckResp[0x7F];</t>
    <phoneticPr fontId="4" type="noConversion"/>
  </si>
  <si>
    <t>1.Send DiagBy[Physical]Data[10 03];
2.Delay[1000]ms;
3.Send DiagBy[Functional]Data[3E 00];
4.Delay[1000]ms;
5.Set Voltage[0]V;
6.Delay[1000]ms;
7.Set Voltage[12]V;
8.Delay[1000]ms;
9.Send DiagBy[Physical]Data[27 01]AndCheckResp[0x7F];</t>
    <phoneticPr fontId="4" type="noConversion"/>
  </si>
  <si>
    <t>1.Send DiagBy[Physical]Data[10 03];
2.Delay[1000]ms;
3.Send DiagBy[Functional]Data[3E 00];
4.Delay[1000]ms;
5.Send DiagBy[Physical]Data[11 01];
6.Delay[1000]ms;
7.Send DiagBy[Physical]Data[27 01]AndCheckResp[0x7F];</t>
    <phoneticPr fontId="4" type="noConversion"/>
  </si>
  <si>
    <t>1.Send DiagBy[Physical]Data[10 03];
2.Delay[1000]ms;
3.Send DiagBy[Functional]Data[3E 00];
4.Delay[1000]ms;
5.Send DiagBy[Physical]Data[10 01];
6.Delay[1000]ms;
7.Send DiagBy[Physical]Data[27 01]AndCheckResp[0x7F];</t>
    <phoneticPr fontId="4" type="noConversion"/>
  </si>
  <si>
    <t>预期结果中，不需要进行检查</t>
    <phoneticPr fontId="4" type="noConversion"/>
  </si>
  <si>
    <t>Does not respond when sending diagnostic DLC &lt; 8 NegativeCase-$3E</t>
    <phoneticPr fontId="4" type="noConversion"/>
  </si>
  <si>
    <t>Send diagnostic DLC &gt; 8 times normal response PositiveCase-$3E</t>
    <phoneticPr fontId="4" type="noConversion"/>
  </si>
  <si>
    <t>Valid SF_DL=5, invalid SF_DL &gt; 5, and those with invalid equivalence class SF_DL=6  NegativeCase-$3E</t>
    <phoneticPr fontId="4" type="noConversion"/>
  </si>
  <si>
    <t>Valid SF_DL=5, invalid SF_DL &lt; 5, and those with invalid equivalence class SF_DL=4 NegativeCase-$3E</t>
    <phoneticPr fontId="4" type="noConversion"/>
  </si>
  <si>
    <t>1.Application Service_Physical Addressing</t>
  </si>
  <si>
    <t>1.Send DiagBy[Physical]Data[10 03];
设置车速等于10km/h
2.Set Signal[TachographVehicleSpeed]Value[10];
3.Send DiagBy[Physical]Data[85 02]WithLen[3];</t>
  </si>
  <si>
    <t>1.Send DiagBy[Physical]Data[10 01];
2.Send DiagBy[Physical]Data[14 FF FF FF];</t>
  </si>
  <si>
    <t>1.Send DiagBy[Physical]Data[10 03];
2.Send DiagBy[Physical]Data[14 FF FF FF];</t>
  </si>
  <si>
    <t>1.Send DiagBy[Physical]Data[10 03];
2.Send DiagBy[Physical]Data[14 FF FF FF]WithLen[5];</t>
  </si>
  <si>
    <t>1.Send DiagBy[Physical]Data[10 03];
2.Send DiagBy[Physical]Data[14 FF FF FF]WithLen[3];</t>
  </si>
  <si>
    <t>1.Send DiagBy[Physical]Data[10 03];
2.Send DiagBy[Physical]Data[14 00 FF FF]WithLen[5];</t>
  </si>
  <si>
    <t>2.Application Service_Functional Addressing</t>
  </si>
  <si>
    <t>1.Send DiagBy[Physical]Data[10 01];
2.Send DiagBy[Function]Data[14 FF FF FF];</t>
  </si>
  <si>
    <t>1.Send DiagBy[Physical]Data[10 03];
2.Send DiagBy[Function]Data[14 FF FF FF];</t>
  </si>
  <si>
    <t>1.Send DiagBy[Physical]Data[10 03];
2.Send DiagBy[Function]Data[14 FF FF FF]WithLen[5];</t>
  </si>
  <si>
    <t>1.Send DiagBy[Physical]Data[10 03];
2.Send DiagBy[Function]Data[14 FF FF FF]WithLen[3];</t>
  </si>
  <si>
    <t>1.Send DiagBy[Physical]Data[10 03];
2.Send DiagBy[Function]Data[14 00 FF FF]WithLen[5];</t>
  </si>
  <si>
    <t>1.Send DiagBy[Physical]Data[10 03];
2.Send Msg[0x3C]Data[3E 00]WithDLC[7];</t>
  </si>
  <si>
    <t>1.Send DiagBy[Physical]Data[10 03];
2.Send Msg[0x3C]Data[3E 00]WithDLC[9];</t>
  </si>
  <si>
    <t>1.Send DiagBy[Physical]Data[10 03];
2.Send DiagBy[Physical]Data[3E 00]WithLen[6];</t>
  </si>
  <si>
    <t>1.Send DiagBy[Physical]Data[10 03];
2.Send DiagBy[Physical]Data[3E 00]WithLen[4];</t>
  </si>
  <si>
    <t>1.Send DiagBy[Physical]Data[10 01];
2.Send DiagBy[Physical]Data[85 01 FF FF FF];</t>
  </si>
  <si>
    <t>1.Send DiagBy[Physical]Data[10 01];
2.Send DiagBy[Physical]Data[85 02 FF FF FF];</t>
  </si>
  <si>
    <t>1.Send DiagBy[Physical]Data[10 03];
2.Send DiagBy[Physical]Data[85 01 FF FF FF];</t>
  </si>
  <si>
    <t>1.Send DiagBy[Physical]Data[10 03];
2.Send DiagBy[Physical]Data[85 02 FF FF FF];</t>
  </si>
  <si>
    <t>1.Send DiagBy[Physical]Data[10 03];
2.Send DiagBy[Physical]Data[85 01];</t>
  </si>
  <si>
    <t>1.Send DiagBy[Physical]Data[10 03];
2.Send DiagBy[Physical]Data[85 02];</t>
  </si>
  <si>
    <t>1.Send DiagBy[Physical]Data[10 01];
2.Send DiagBy[Physical]Data[85 81 FF FF FF];</t>
  </si>
  <si>
    <t>1.Send DiagBy[Physical]Data[10 01];
2.Send DiagBy[Physical]Data[85 82 FF FF FF];</t>
  </si>
  <si>
    <t>1.Send DiagBy[Physical]Data[10 03];
2.Send DiagBy[Physical]Data[85 81 FF FF FF];</t>
  </si>
  <si>
    <t>1.Send DiagBy[Physical]Data[10 03];
2.Send DiagBy[Physical]Data[85 82 FF FF FF];</t>
  </si>
  <si>
    <t>1.Send DiagBy[Physical]Data[10 03];
2.Send 0x85SubTraversalBy[Physical]Excluding[01 02 81 82]AndCheckResp[0x12];</t>
  </si>
  <si>
    <t>1.Send DiagBy[Physical]Data[10 03];
2.Send Msg[0x601]Data[05 85 01 FF FF FF]WithDLC[7];</t>
  </si>
  <si>
    <t>1.Send DiagBy[Physical]Data[10 03];
2.Send Msg[0x601]Data[05 85 01 FF FF FF]WithDLC[9];</t>
  </si>
  <si>
    <t>1.Send DiagBy[Physical]Data[10 03];
2.Send DiagBy[Physical]Data[85 01 FF FF FF]WithLen[6];</t>
  </si>
  <si>
    <t>1.Send DiagBy[Physical]Data[10 03];
2.Send DiagBy[Physical]Data[85 01 FF FF FF]WithLen[4];</t>
  </si>
  <si>
    <t>1.Send DiagBy[Physical]Data[10 03];
//2.Send DiagBy[Physical]Data[85 01]WithLen[1];
2.Send DiagBy[Physical]Data[85 04]WithLen[1];</t>
  </si>
  <si>
    <t>1.Send DiagBy[Physical]Data[10 01];
2.Send DiagBy[Function]Data[85 01 FF FF FF];</t>
  </si>
  <si>
    <t>1.Send DiagBy[Physical]Data[10 01];
2.Send DiagBy[Function]Data[85 02 FF FF FF];</t>
  </si>
  <si>
    <t>1.Send DiagBy[Physical]Data[10 03];
2.Send DiagBy[Function]Data[85 01 FF FF FF];</t>
  </si>
  <si>
    <t>1.Send DiagBy[Physical]Data[10 03];
2.Send DiagBy[Function]Data[85 02 FF FF FF];</t>
  </si>
  <si>
    <t>1.Send DiagBy[Physical]Data[10 03];
2.Send DiagBy[Function]Data[85 01];</t>
  </si>
  <si>
    <t>1.Send DiagBy[Physical]Data[10 03];
2.Send DiagBy[Function]Data[85 02];</t>
  </si>
  <si>
    <t>1.Send DiagBy[Physical]Data[10 01];
2.Send DiagBy[Function]Data[85 81 FF FF FF];</t>
  </si>
  <si>
    <t>1.Send DiagBy[Physical]Data[10 01];
2.Send DiagBy[Function]Data[85 82 FF FF FF];</t>
  </si>
  <si>
    <t>1.Send DiagBy[Physical]Data[10 03];
2.Send DiagBy[Function]Data[85 81 FF FF FF];</t>
  </si>
  <si>
    <t>1.Send DiagBy[Physical]Data[10 03];
2.Send DiagBy[Function]Data[85 82 FF FF FF];</t>
  </si>
  <si>
    <t>1.Send DiagBy[Physical]Data[10 03];
2.Send 0x85SubTraversalBy[Function]Excluding[01 02 81 82]AndCheckResp[0];</t>
  </si>
  <si>
    <t>2.Send 0x85SubTraversalBy[Function]Excluding[01 02 81 82]AndCheckResp[0x12];
功能寻址应该抑制NRC 11，12，31，7E，7F的回复，所有这里应该填写“0”</t>
  </si>
  <si>
    <t>1.Send DiagBy[Physical]Data[10 03];
2.Send Msg[0x7E]Data[05 85 01 FF FF FF]WithDLC[7];</t>
  </si>
  <si>
    <t>1.Send DiagBy[Physical]Data[10 03];
2.Send Msg[0x7E]Data[05 85 01 FF FF FF]WithDLC[9];</t>
  </si>
  <si>
    <t>1.Send DiagBy[Physical]Data[10 03];
2.Send DiagBy[Function]Data[85 01 FF FF FF]WithLen[6];</t>
  </si>
  <si>
    <t>1.Send DiagBy[Physical]Data[10 03];
2.Send DiagBy[Function]Data[85 01 FF FF FF]WithLen[4];</t>
  </si>
  <si>
    <t>2.Send DiagBy[Physical]Data[31 01 02 03];
该步骤不需要
并且Service 0x85在编程会话下应该是支持的</t>
  </si>
  <si>
    <t>3.Boot Service_Physical Addressing</t>
  </si>
  <si>
    <t>1.Send DiagBy[Physical]Data[10 03];
2.Send DiagBy[Physical]Data[27 01]AndCheckResp[PositiveResponse];
3.Send Security Right KeyBy[Physical]Level[02];
4.Send DiagBy[Physical]Data[14 FF FF FF];</t>
  </si>
  <si>
    <t>1.Send DiagBy[Physical]Data[10 03];
2.Send DiagBy[Physical]Data[19 02 FF];
3.Send DiagBy[Physical]Data[14 FF FF FF];
4.Send DiagBy[Physical]Data[19 02 FF];</t>
  </si>
  <si>
    <t>1.Send DiagBy[Physical]Data[10 03];
2.Send DiagBy[Physical]Data[27 01]AndCheckResp[PositiveResponse];
3.Send Security Right KeyBy[Physical]Level[02];
4.Send DiagBy[Function]Data[14 FF FF FF];</t>
  </si>
  <si>
    <t>1.Send DiagBy[Physical]Data[10 03];
2.Send DiagBy[Physical]Data[27 03]AndCheckResp[PositiveResponse];
3.Send Security Right KeyBy[Physical]Level[04];
4.Send DiagBy[Function]Data[14 FF FF FF];</t>
  </si>
  <si>
    <t>1.Send DiagBy[Physical]Data[10 03];
2.Send DiagBy[Physical]Data[19 02 FF];
3.Send DiagBy[Function]Data[14 FF FF FF];
4.Send DiagBy[Physical]Data[19 02 FF];</t>
  </si>
  <si>
    <t>4.Boot Service_Functional Addressing</t>
  </si>
  <si>
    <t>1.Send DiagBy[Physical]Data[10 03];
2.Send DiagBy[Physical]Data[27 01]AndCheckResp[1];
3.Send Security Right KeyBy[Physical]Level[0x2];
4.Send DiagBy[Physical]Data[85 01 FF FF FF];</t>
  </si>
  <si>
    <t>1.Send DiagBy[Physical]Data[10 03];
2.Send DiagBy[Physical]Data[27 01]AndCheckResp[1];
3.Send Security Right KeyBy[Physical]Level[0x2];
4.Send DiagBy[Physical]Data[85 02 FF FF FF];</t>
  </si>
  <si>
    <t>1.Send DiagBy[Physical]Data[10 03];
2.Send DiagBy[Physical]Data[27 01]AndCheckResp[1];
3.Send Security Right KeyBy[Physical]Level[0x2];
4.Send DiagBy[Physical]Data[85 81 FF FF FF];</t>
  </si>
  <si>
    <t>1.Send DiagBy[Physical]Data[10 03];
2.Send DiagBy[Physical]Data[27 01]AndCheckResp[1];
3.Send Security Right KeyBy[Physical]Level[0x2];
4.Send DiagBy[Physical]Data[85 82 FF FF FF];</t>
  </si>
  <si>
    <t>1.Send DiagBy[Physical]Data[10 03];
2.Send DiagBy[Physical]Data[27 01]AndCheckResp[1];
3.Send Security Right KeyBy[Physical]Level[0x2];
4.Send DiagBy[Function]Data[85 01 FF FF FF];</t>
  </si>
  <si>
    <t>1.Send DiagBy[Physical]Data[10 03];
2.Send DiagBy[Physical]Data[27 01]AndCheckResp[1];
3.Send Security Right KeyBy[Physical]Level[0x2];
4.Send DiagBy[Function]Data[85 02 FF FF FF];</t>
  </si>
  <si>
    <t>1.Send DiagBy[Physical]Data[10 03];
3.Send DiagBy[Physical]Data[10 02];
4.Send DiagBy[Physical]Data[85 01 FF FF FF];</t>
  </si>
  <si>
    <t>1.Send DiagBy[Physical]Data[10 03];
3.Send DiagBy[Physical]Data[10 02];
4.Send DiagBy[Physical]Data[85 02 FF FF FF];</t>
  </si>
  <si>
    <t>1.Send DiagBy[Physical]Data[10 03];
3.Send DiagBy[Physical]Data[10 02];
4.Send DiagBy[Physical]Data[85 01];</t>
  </si>
  <si>
    <t>1.Send DiagBy[Physical]Data[10 03];
3.Send DiagBy[Physical]Data[10 02];
4.Send DiagBy[Physical]Data[85 02];</t>
  </si>
  <si>
    <t>1.Send DiagBy[Physical]Data[10 03];
3.Send DiagBy[Physical]Data[10 02];
4.Send DiagBy[Physical]Data[85 81 FF FF FF];</t>
  </si>
  <si>
    <t>1.Send DiagBy[Physical]Data[10 03];
3.Send DiagBy[Physical]Data[10 02];
4.Send DiagBy[Physical]Data[85 82 FF FF FF];</t>
  </si>
  <si>
    <t>1.Send DiagBy[Physical]Data[10 02];
2.Send DiagBy[Physical]Data[27 01]AndCheckResp[1];
3.Send Security Right KeyBy[Physical]Level[0x2];
4.Send DiagBy[Physical]Data[85 81 FF FF FF];</t>
  </si>
  <si>
    <t>1.Send DiagBy[Physical]Data[10 02];
2.Send DiagBy[Physical]Data[27 01]AndCheckResp[1];
3.Send Security Right KeyBy[Physical]Level[0x2];
4.Send DiagBy[Physical]Data[85 82 FF FF FF];</t>
  </si>
  <si>
    <t>1.Send DiagBy[Physical]Data[10 03];
3.Send DiagBy[Physical]Data[10 02];
4.Send 0x85SubTraversalBy[Physical]Excluding[01 02 81 82]AndCheckResp[0x12];</t>
  </si>
  <si>
    <t>1.Send DiagBy[Physical]Data[10 02];
2.Send DiagBy[Physical]Data[27 01]AndCheckResp[1];
3.Send Security Right KeyBy[Physical]Level[0x2];
4.Send DiagBy[Function]Data[85 81 FF FF FF];</t>
  </si>
  <si>
    <t>1.Send DiagBy[Physical]Data[10 02];
2.Send DiagBy[Physical]Data[27 01]AndCheckResp[1];
3.Send Security Right KeyBy[Physical]Level[0x2];
4.Send DiagBy[Function]Data[85 82 FF FF FF];</t>
  </si>
  <si>
    <t>1.Send DiagBy[Physical]Data[10 03];
2.Send DiagBy[Physical]Data[31 01 02 03];
3.Send DiagBy[Physical]Data[10 02];
4.Send 0x85SubTraversalBy[Function]Excluding[01 02 81 82]AndCheckResp[0x12];</t>
  </si>
  <si>
    <t>1.Send DiagBy[Physical]Data[10 03];
2.Delay[1000]ms;
3.Send DiagBy[Physical]Data[19 02 FF];
4.Send DiagBy[Physical]Data[14 FF FF FF];
5.Send DiagBy[Physical]Data[19 02 FF];</t>
  </si>
  <si>
    <t>1.Send DiagBy[Physical]Data[10 03];
2.Delay[1000]ms;
3.Send DiagBy[Physical]Data[19 02 FF];
4.Send DiagBy[Function]Data[14 FF FF FF];
5.Send DiagBy[Physical]Data[19 02 FF];</t>
  </si>
  <si>
    <t>1.Send DiagBy[Physical]Data[10 03];
2.Set Voltage[16.3]V;
3.Delay[2000]ms;
4.Send DiagBy[Physical]Data[19 02 FF];
5.Send DiagBy[Physical]Data[14 FF FF FF];
6.Send DiagBy[Physical]Data[19 02 FF];
7.Set Voltage[13.5]V;
8.Delay[2000]ms;</t>
  </si>
  <si>
    <t>1.Send DiagBy[Physical]Data[10 03];
2.Set Voltage[16.5]V;
3.Delay[2000]ms;
4.Set Voltage[13.5]V;
5.Delay[2000]ms;
6.Send DiagBy[Physical]Data[19 02 FF];
7.Send DiagBy[Physical]Data[14 FF FF FF];
8.Send DiagBy[Physical]Data[19 02 FF];</t>
  </si>
  <si>
    <t>1.Send DiagBy[Physical]Data[10 03];
2.Set Voltage[16.3]V;
3.Delay[2000]ms;
4.Send DiagBy[Physical]Data[19 02 FF];
5.Send DiagBy[Function]Data[14 FF FF FF];
6.Send DiagBy[Physical]Data[19 02 FF];
7.Set Voltage[13.5]V;
8.Delay[2000]ms;</t>
  </si>
  <si>
    <t>1.Send DiagBy[Physical]Data[10 03];
2.Set Voltage[16.5]V;
3.Delay[2000]ms;
4.Set Voltage[13.5]V;
5.Delay[2000]ms;
6.Send DiagBy[Physical]Data[19 02 FF];
7.Send DiagBy[Function]Data[14 FF FF FF];
8.Send DiagBy[Physical]Data[19 02 FF];</t>
  </si>
  <si>
    <t>1.Send DiagBy[Physical]Data[10 03];
2.Send Msg[0x7E]Data[3E 00]WithDLC[7];</t>
    <phoneticPr fontId="4" type="noConversion"/>
  </si>
  <si>
    <t>7.2 Incorrect Diagnostic Command Test (APP Functional)</t>
    <phoneticPr fontId="4" type="noConversion"/>
  </si>
  <si>
    <t>1.Send DiagBy[Physical]Data[10 03];
2.Send Msg[0x7E]Data[3E 00]WithDLC[9];</t>
    <phoneticPr fontId="4" type="noConversion"/>
  </si>
  <si>
    <t>1.Send DiagBy[Physical]Data[10 03];
2.Send DiagBy[Functional]Data[3E 00]WithLen[6];</t>
    <phoneticPr fontId="4" type="noConversion"/>
  </si>
  <si>
    <t>1.Send DiagBy[Physical]Data[10 03];
2.Send DiagBy[Functional]Data[3E 00]WithLen[4];</t>
    <phoneticPr fontId="4" type="noConversion"/>
  </si>
  <si>
    <t>NRC 13&gt;12NegativeCase-$3E</t>
    <phoneticPr fontId="4" type="noConversion"/>
  </si>
  <si>
    <t>9.1 Session Layer Test (APP Physical)</t>
    <phoneticPr fontId="4" type="noConversion"/>
  </si>
  <si>
    <t>9.2 Session Layer Test (APP Functional)</t>
    <phoneticPr fontId="4" type="noConversion"/>
  </si>
  <si>
    <t>9.3 SPRMIB Test (APP Physical)</t>
    <phoneticPr fontId="4" type="noConversion"/>
  </si>
  <si>
    <t>9.4 SPRMIB Test (APP Functional)</t>
    <phoneticPr fontId="4" type="noConversion"/>
  </si>
  <si>
    <t>9.5 Secure Access Test (APP Physical)</t>
    <phoneticPr fontId="4" type="noConversion"/>
  </si>
  <si>
    <t>9.6 Secure Access Test (APP Functional)</t>
    <phoneticPr fontId="4" type="noConversion"/>
  </si>
  <si>
    <t>9.7 S3 Server Timer Test (APP Physical)</t>
    <phoneticPr fontId="4" type="noConversion"/>
  </si>
  <si>
    <t>9.8 ECU Reset Test (APP Physical)</t>
    <phoneticPr fontId="4" type="noConversion"/>
  </si>
  <si>
    <t>9.9 ECU Reset Test (APP Functional)</t>
    <phoneticPr fontId="4" type="noConversion"/>
  </si>
  <si>
    <t>9.10 Sub-function Traversal Test (APP Physical)</t>
    <phoneticPr fontId="4" type="noConversion"/>
  </si>
  <si>
    <t>9.11 Sub-function Traversal Test (APP Functional)</t>
    <phoneticPr fontId="4" type="noConversion"/>
  </si>
  <si>
    <t>9.12 Incorrect Diagnostic Command Test (APP Physical)</t>
    <phoneticPr fontId="4" type="noConversion"/>
  </si>
  <si>
    <t>9.13 Incorrect Diagnostic Command Test (APP Functional)</t>
    <phoneticPr fontId="4" type="noConversion"/>
  </si>
  <si>
    <t>9.14 NRC Priority Test (APP Physical)</t>
    <phoneticPr fontId="4" type="noConversion"/>
  </si>
  <si>
    <t>Diag_0x3E_Fun_038</t>
  </si>
  <si>
    <t>Diag_0x3E_Fun_039</t>
  </si>
  <si>
    <t>Diag_0x3E_Fun_040</t>
  </si>
  <si>
    <t>Diag_0x3E_Phy_044</t>
  </si>
  <si>
    <t>Diag_0x3E_Phy_045</t>
  </si>
  <si>
    <t>Diag_0x3E_Fun_048</t>
  </si>
  <si>
    <t>Diag_0x3E_Fun_053</t>
  </si>
  <si>
    <t>Diag_0x3E_Fun_054</t>
  </si>
  <si>
    <t>Diag_0x3E_Fun_058</t>
  </si>
  <si>
    <t>Diag_0x3E_Fun_064</t>
  </si>
  <si>
    <t>Diag_0x3E_Fun_065</t>
  </si>
  <si>
    <t>Diag_0x3E_Fun_066</t>
  </si>
  <si>
    <t>Diag_0x3E_Phy_068</t>
  </si>
  <si>
    <t>Diag_0x3E_Phy_069</t>
  </si>
  <si>
    <t>Diag_0x3E_Phy_004</t>
    <phoneticPr fontId="4" type="noConversion"/>
  </si>
  <si>
    <t>Diag_0x3E_Phy_007</t>
    <phoneticPr fontId="4" type="noConversion"/>
  </si>
  <si>
    <t>Diag_0x3E_Phy_010</t>
    <phoneticPr fontId="4" type="noConversion"/>
  </si>
  <si>
    <t>Diag_0x3E_Phy_013</t>
    <phoneticPr fontId="4" type="noConversion"/>
  </si>
  <si>
    <t>Diag_0x3E_Fun_015</t>
    <phoneticPr fontId="4" type="noConversion"/>
  </si>
  <si>
    <t>4.1 S3 Server Timer Test (APP Physical)</t>
    <phoneticPr fontId="4" type="noConversion"/>
  </si>
  <si>
    <t>Diag_0x3E_Phy_017</t>
    <phoneticPr fontId="4" type="noConversion"/>
  </si>
  <si>
    <t>Diag_0x3E_Fun_021</t>
    <phoneticPr fontId="4" type="noConversion"/>
  </si>
  <si>
    <t>Diag_0x3E_Phy_025</t>
    <phoneticPr fontId="4" type="noConversion"/>
  </si>
  <si>
    <t>Diag_0x3E_Phy_031</t>
    <phoneticPr fontId="4" type="noConversion"/>
  </si>
  <si>
    <t>Diag_0x3E_Fun_028</t>
    <phoneticPr fontId="4" type="noConversion"/>
  </si>
  <si>
    <t>Diag_0x3E_Fun_032</t>
    <phoneticPr fontId="4" type="noConversion"/>
  </si>
  <si>
    <t>Diag_0x3E_Phy_033</t>
    <phoneticPr fontId="4" type="noConversion"/>
  </si>
  <si>
    <t>Diag_0x3E_Fun_037</t>
    <phoneticPr fontId="4" type="noConversion"/>
  </si>
  <si>
    <t>Diag_0x3E_Phy_041</t>
    <phoneticPr fontId="4" type="noConversion"/>
  </si>
  <si>
    <t>Diag_0x3E_Phy_042</t>
  </si>
  <si>
    <t>Diag_0x3E_Phy_043</t>
    <phoneticPr fontId="4" type="noConversion"/>
  </si>
  <si>
    <t>Diag_0x3E_Fun_046</t>
    <phoneticPr fontId="4" type="noConversion"/>
  </si>
  <si>
    <t>Diag_0x3E_Fun_047</t>
  </si>
  <si>
    <t>Diag_0x3E_Phy_049</t>
    <phoneticPr fontId="4" type="noConversion"/>
  </si>
  <si>
    <t>Diag_0x3E_Phy_050</t>
  </si>
  <si>
    <t>Diag_0x3E_Phy_051</t>
  </si>
  <si>
    <t>Diag_0x3E_Fun_052</t>
    <phoneticPr fontId="4" type="noConversion"/>
  </si>
  <si>
    <t>Diag_0x3E_Phy_055</t>
    <phoneticPr fontId="4" type="noConversion"/>
  </si>
  <si>
    <t>Diag_0x3E_Phy_056</t>
  </si>
  <si>
    <t>Diag_0x3E_Fun_057</t>
    <phoneticPr fontId="4" type="noConversion"/>
  </si>
  <si>
    <t>Diag_0x3E_Phy_059</t>
    <phoneticPr fontId="4" type="noConversion"/>
  </si>
  <si>
    <t>Diag_0x3E_Phy_060</t>
  </si>
  <si>
    <t>Diag_0x3E_Phy_061</t>
  </si>
  <si>
    <t>Diag_0x3E_Phy_062</t>
  </si>
  <si>
    <t>Diag_0x3E_Fun_063</t>
    <phoneticPr fontId="4" type="noConversion"/>
  </si>
  <si>
    <t>Diag_0x3E_Phy_067</t>
    <phoneticPr fontId="4" type="noConversion"/>
  </si>
  <si>
    <t>Diag_0x3E_Fun_070</t>
    <phoneticPr fontId="4" type="noConversion"/>
  </si>
  <si>
    <t>Diag_0x3E_Fun_071</t>
  </si>
  <si>
    <t>Diag_0x3E_Fun_072</t>
  </si>
  <si>
    <t>Diag_0x3E_Phy_073</t>
    <phoneticPr fontId="4" type="noConversion"/>
  </si>
  <si>
    <t>Diag_0x3E_Fun_074</t>
    <phoneticPr fontId="4" type="noConversion"/>
  </si>
  <si>
    <t>Diag_0x3E_Phy_075</t>
    <phoneticPr fontId="4" type="noConversion"/>
  </si>
  <si>
    <t>Diag_0x3E_Phy_076</t>
  </si>
  <si>
    <t>Diag_0x3E_Phy_077</t>
  </si>
  <si>
    <t>Diag_0x3E_Phy_078</t>
  </si>
  <si>
    <t>Diag_0x3E_Fun_079</t>
    <phoneticPr fontId="4" type="noConversion"/>
  </si>
  <si>
    <t>Diag_0x3E_Fun_080</t>
  </si>
  <si>
    <t>Diag_0x3E_Fun_081</t>
  </si>
  <si>
    <t>Diag_0x3E_Fun_082</t>
  </si>
  <si>
    <t>Diag_0x3E_Phy_083</t>
    <phoneticPr fontId="4" type="noConversion"/>
  </si>
  <si>
    <t>Diag_0x3E_Phy_084</t>
  </si>
  <si>
    <t>1.Send DiagBy[Physical]Data[10 03];
2.Delay[1000]ms;
3.Send DiagBy[Funcational]Data[3E 00];
4.Delay[5100]ms;
5.Send DiagBy[Physical]Data[27 01]AndCheckResp[0x7F];</t>
    <phoneticPr fontId="4" type="noConversion"/>
  </si>
  <si>
    <t>1.Send DiagBy[Physical]Data[10 03];
2.Delay[1000]ms;
3.Send DiagBy[Funcational]Data[3E 80];
4.Delay[5100]ms;
5.Send DiagBy[Physical]Data[27 01]AndCheckResp[0x7F];</t>
    <phoneticPr fontId="4" type="noConversion"/>
  </si>
  <si>
    <t>1.Send DiagBy[Physical]Data[10 03];
2.Delay[1000]ms;
3.Send DiagBy[Funcational]Data[3E 80];
4.Delay[4900]ms;
5.Send DiagBy[Physical]Data[27 01]AndCheckResp[1];</t>
    <phoneticPr fontId="4" type="noConversion"/>
  </si>
  <si>
    <t>1.测试过程与检验结果中缺少编号
2.测试过程不应该出现check结果</t>
    <phoneticPr fontId="4" type="noConversion"/>
  </si>
  <si>
    <t>1.Send DiagBy[Physical]Data[10 01];
2.Send DiagBy[Physical]Data[22 F6 C3];</t>
    <phoneticPr fontId="4" type="noConversion"/>
  </si>
  <si>
    <t>1.Send DiagBy[Physical]Data[10 01];
2.Send DiagBy[Physical]Data[22 F6 C4];</t>
    <phoneticPr fontId="4" type="noConversion"/>
  </si>
  <si>
    <t>1.Send DiagBy[Physical]Data[10 01];
2.Send DiagBy[Physical]Data[22 F6 C5];</t>
    <phoneticPr fontId="4" type="noConversion"/>
  </si>
  <si>
    <t>1.Send DiagBy[Physical]Data[10 01];
2.Send DiagBy[Physical]Data[22 F6 C0];</t>
    <phoneticPr fontId="4" type="noConversion"/>
  </si>
  <si>
    <t>1.Send DiagBy[Physical]Data[10 03];
2.Send DiagBy[Physical]Data[22 F6 C3];</t>
    <phoneticPr fontId="4" type="noConversion"/>
  </si>
  <si>
    <t>1.Send DiagBy[Physical]Data[10 03];
2.Send DiagBy[Physical]Data[22 F6 C4];</t>
    <phoneticPr fontId="4" type="noConversion"/>
  </si>
  <si>
    <t>1.Send DiagBy[Physical]Data[10 03];
2.Send DiagBy[Physical]Data[22 F6 C5];</t>
    <phoneticPr fontId="4" type="noConversion"/>
  </si>
  <si>
    <t>1.Send DiagBy[Physical]Data[10 03];
2.Send DiagBy[Physical]Data[22 F6 C0];</t>
    <phoneticPr fontId="4" type="noConversion"/>
  </si>
  <si>
    <t>Extended Session supports reading DID: 0xF6C3 PositiveCase-$22</t>
    <phoneticPr fontId="4" type="noConversion"/>
  </si>
  <si>
    <t>Extended Session supports reading DID: 0xF6C4 PositiveCase-$22</t>
    <phoneticPr fontId="4" type="noConversion"/>
  </si>
  <si>
    <t>Extended Session supports reading DID: 0xF6C5 PositiveCase-$22</t>
    <phoneticPr fontId="4" type="noConversion"/>
  </si>
  <si>
    <t>Extended Session supports reading DID: 0xF6C0 PositiveCase-$22</t>
    <phoneticPr fontId="4" type="noConversion"/>
  </si>
  <si>
    <t>Programme Session supports reading DID: 0xF6C3 PositiveCase-$22</t>
    <phoneticPr fontId="4" type="noConversion"/>
  </si>
  <si>
    <t>Programme Session supports reading DID: 0xF6C4 PositiveCase-$22</t>
    <phoneticPr fontId="4" type="noConversion"/>
  </si>
  <si>
    <t>Programme Session supports reading DID: 0xF6C5 PositiveCase-$22</t>
    <phoneticPr fontId="4" type="noConversion"/>
  </si>
  <si>
    <t>Programme Session supports reading DID: 0xF6C0 PositiveCase-$22</t>
    <phoneticPr fontId="4" type="noConversion"/>
  </si>
  <si>
    <t>1.Send DiagBy[Physical]Data[10 03];
2.Send DiagBy[Physical]Data[10 02];
3.Send DiagBy[Physical]Data[22 F6 C3];</t>
    <phoneticPr fontId="4" type="noConversion"/>
  </si>
  <si>
    <t>1.Send DiagBy[Physical]Data[10 03];
2.Send DiagBy[Physical]Data[10 02];
3.Send DiagBy[Physical]Data[22 F6 C4];</t>
    <phoneticPr fontId="4" type="noConversion"/>
  </si>
  <si>
    <t>1.Send DiagBy[Physical]Data[10 03];
2.Send DiagBy[Physical]Data[10 02];
3.Send DiagBy[Physical]Data[22 F6 C5];</t>
    <phoneticPr fontId="4" type="noConversion"/>
  </si>
  <si>
    <t>1.Send DiagBy[Physical]Data[10 03];
2.Send DiagBy[Physical]Data[10 02];
3.Send DiagBy[Physical]Data[22 F6 C0];</t>
    <phoneticPr fontId="4" type="noConversion"/>
  </si>
  <si>
    <t>1.2 Session Layer Test (Function)</t>
    <phoneticPr fontId="4" type="noConversion"/>
  </si>
  <si>
    <t>1.Send DiagBy[Physical]Data[10 03];
2.Send DiagBy[Functional]Data[3E 00]WithLen[4];</t>
    <phoneticPr fontId="4" type="noConversion"/>
  </si>
  <si>
    <t>1.Send DiagBy[Physical]Data[10 01];
2.Send DiagBy[Functional]Data[22 F6 C3];</t>
    <phoneticPr fontId="4" type="noConversion"/>
  </si>
  <si>
    <t>1.Send DiagBy[Physical]Data[10 01];
2.Send DiagBy[Functional]Data[22 F6 C4];</t>
    <phoneticPr fontId="4" type="noConversion"/>
  </si>
  <si>
    <t>1.Send DiagBy[Physical]Data[10 01];
2.Send DiagBy[Functional]Data[22 F6 C5];</t>
    <phoneticPr fontId="4" type="noConversion"/>
  </si>
  <si>
    <t>1.Send DiagBy[Physical]Data[10 01];
2.Send DiagBy[Functional]Data[22 F6 C0];</t>
    <phoneticPr fontId="4" type="noConversion"/>
  </si>
  <si>
    <t>1.Send DiagBy[Physical]Data[10 03];
2.Send DiagBy[Functional]Data[22 F6 C3];</t>
    <phoneticPr fontId="4" type="noConversion"/>
  </si>
  <si>
    <t>1.Send DiagBy[Physical]Data[10 03];
2.Send DiagBy[Functional]Data[22 F6 C4];</t>
    <phoneticPr fontId="4" type="noConversion"/>
  </si>
  <si>
    <t>1.Send DiagBy[Physical]Data[10 03];
2.Send DiagBy[Functional]Data[22 F6 C5];</t>
    <phoneticPr fontId="4" type="noConversion"/>
  </si>
  <si>
    <t>1.Send DiagBy[Physical]Data[10 03];
2.Send DiagBy[Functional]Data[22 F6 C0];</t>
    <phoneticPr fontId="4" type="noConversion"/>
  </si>
  <si>
    <t>1.Send DiagBy[Physical]Data[10 03];
2.Send DiagBy[Physical]Data[10 02];
3.Send DiagBy[Functional]Data[22 F6 C3];</t>
    <phoneticPr fontId="4" type="noConversion"/>
  </si>
  <si>
    <t>1.Send DiagBy[Physical]Data[10 03];
2.Send DiagBy[Physical]Data[10 02];
3.Send DiagBy[Functional]Data[22 F6 C4];</t>
    <phoneticPr fontId="4" type="noConversion"/>
  </si>
  <si>
    <t>1.Send DiagBy[Physical]Data[10 03];
2.Send DiagBy[Physical]Data[10 02];
3.Send DiagBy[Functional]Data[22 F6 C5];</t>
    <phoneticPr fontId="4" type="noConversion"/>
  </si>
  <si>
    <t>1.Send DiagBy[Physical]Data[10 03];
2.Send DiagBy[Physical]Data[10 02];
3.Send DiagBy[Functional]Data[22 F6 C0];</t>
    <phoneticPr fontId="4" type="noConversion"/>
  </si>
  <si>
    <t>1.3 NRC test</t>
    <phoneticPr fontId="4" type="noConversion"/>
  </si>
  <si>
    <t>1.Send DiagBy[Physical]Data[10 03];
2.Send DiagBy[Physical]Data[10 02];
3.Send DiagBy[Functional]Data[22 F6 C0];</t>
    <phoneticPr fontId="4" type="noConversion"/>
  </si>
  <si>
    <t>1.General
2.DiagnosticServices</t>
    <phoneticPr fontId="4" type="noConversion"/>
  </si>
  <si>
    <t>boundary values</t>
    <phoneticPr fontId="4" type="noConversion"/>
  </si>
  <si>
    <t>1.Power On</t>
    <phoneticPr fontId="4" type="noConversion"/>
  </si>
  <si>
    <t>Programing  Session NRC 0x13&gt;0x31</t>
    <phoneticPr fontId="4" type="noConversion"/>
  </si>
  <si>
    <t>1.Send DiagBy[Physical]Data[10 03 ];
2.Send DiagBy[Physical]Data[22 F6 C0 F1];</t>
    <phoneticPr fontId="4" type="noConversion"/>
  </si>
  <si>
    <t>1.Check DiagData[50 03 00 32 01 F4]Within[50]ms;
2.Check DiagData[7F 22 13]Within[50]ms;</t>
    <phoneticPr fontId="4" type="noConversion"/>
  </si>
  <si>
    <t>Programing  Session NRC 0x31</t>
    <phoneticPr fontId="4" type="noConversion"/>
  </si>
  <si>
    <t>1.Send DiagBy[Physical]Data[10 03 ];
2.Send DiagBy[Physical]Data[22 F6 C0]WithLen[3];</t>
    <phoneticPr fontId="4" type="noConversion"/>
  </si>
  <si>
    <t>1.Check DiagData[50 03 00 32 01 F4]Within[50]ms;
2.Check DiagData[7F 22 31]Within[50]ms;</t>
    <phoneticPr fontId="4" type="noConversion"/>
  </si>
  <si>
    <t>Default Session supports reading DID: 0xF6C3 PositiveCase-$22</t>
    <phoneticPr fontId="4" type="noConversion"/>
  </si>
  <si>
    <t>1.1 Session Layer Test (APP)</t>
    <phoneticPr fontId="4" type="noConversion"/>
  </si>
  <si>
    <t>Default Session supports reading DID: 0xF7B3 PositiveCase-$22</t>
  </si>
  <si>
    <t>Extended Session supports reading DID: 0xF7B3 PositiveCase-$22</t>
  </si>
  <si>
    <t>Programme Session supports reading DID: 0xF7B3 PositiveCase-$22</t>
  </si>
  <si>
    <t>Default Session supports reading DID: 0xF7B4 PositiveCase-$22</t>
  </si>
  <si>
    <t>Extended Session supports reading DID: 0xF7B4 PositiveCase-$22</t>
  </si>
  <si>
    <t>Programme Session supports reading DID: 0xF7B4 PositiveCase-$22</t>
  </si>
  <si>
    <t>Default Session supports reading DID: 0xF7B5 PositiveCase-$22</t>
  </si>
  <si>
    <t>Extended Session supports reading DID: 0xF7B5 PositiveCase-$22</t>
  </si>
  <si>
    <t>Programme Session supports reading DID: 0xF7B5 PositiveCase-$22</t>
  </si>
  <si>
    <t>Default Session supports reading DID: 0xF7B0 PositiveCase-$22</t>
  </si>
  <si>
    <t>Extended Session supports reading DID: 0xF7B0 PositiveCase-$22</t>
  </si>
  <si>
    <t>Programme Session supports reading DID: 0xF7B0 PositiveCase-$22</t>
  </si>
  <si>
    <r>
      <t xml:space="preserve">Service 0x22 ReadDataByIdentifier 测试用例 </t>
    </r>
    <r>
      <rPr>
        <b/>
        <sz val="10"/>
        <color rgb="FFFF0000"/>
        <rFont val="宋体"/>
        <family val="3"/>
        <charset val="134"/>
      </rPr>
      <t>---HU-R</t>
    </r>
    <phoneticPr fontId="4" type="noConversion"/>
  </si>
  <si>
    <r>
      <t xml:space="preserve">Service 0x22 ReadDataByIdentifier 测试用例 </t>
    </r>
    <r>
      <rPr>
        <b/>
        <sz val="10"/>
        <color rgb="FFFF0000"/>
        <rFont val="宋体"/>
        <family val="3"/>
        <charset val="134"/>
      </rPr>
      <t>---SV/HU-L</t>
    </r>
    <phoneticPr fontId="4" type="noConversion"/>
  </si>
  <si>
    <t>Diag_0x22_Fun_013</t>
    <phoneticPr fontId="4" type="noConversion"/>
  </si>
  <si>
    <t>Diag_0x22_Fun_014</t>
  </si>
  <si>
    <t>Diag_0x22_Fun_015</t>
  </si>
  <si>
    <t>Diag_0x22_Fun_016</t>
  </si>
  <si>
    <t>Diag_0x22_Fun_017</t>
  </si>
  <si>
    <t>Diag_0x22_Fun_018</t>
  </si>
  <si>
    <t>Diag_0x22_Fun_019</t>
  </si>
  <si>
    <t>Diag_0x22_Fun_020</t>
  </si>
  <si>
    <t>Diag_0x22_Fun_021</t>
  </si>
  <si>
    <t>Diag_0x22_Fun_022</t>
  </si>
  <si>
    <t>Diag_0x22_Fun_023</t>
  </si>
  <si>
    <t>Diag_0x22_Fun_024</t>
  </si>
  <si>
    <t>Diag_0x22_Fun_025</t>
    <phoneticPr fontId="4" type="noConversion"/>
  </si>
  <si>
    <t>Diag_0x22_Fun_026</t>
  </si>
  <si>
    <t>Diag_0x22_Phy_027</t>
    <phoneticPr fontId="4" type="noConversion"/>
  </si>
  <si>
    <t>Diag_0x22_Phy_033</t>
  </si>
  <si>
    <t>Diag_0x22_Phy_034</t>
  </si>
  <si>
    <t>Diag_0x22_Phy_035</t>
  </si>
  <si>
    <t>Diag_0x22_Phy_036</t>
  </si>
  <si>
    <t>Diag_0x22_Phy_037</t>
  </si>
  <si>
    <t>Diag_0x22_Phy_038</t>
    <phoneticPr fontId="4" type="noConversion"/>
  </si>
  <si>
    <t>Diag_0x22_Fun_039</t>
    <phoneticPr fontId="4" type="noConversion"/>
  </si>
  <si>
    <t>Diag_0x22_Fun_044</t>
  </si>
  <si>
    <t>Diag_0x22_Fun_045</t>
  </si>
  <si>
    <t>Diag_0x22_Fun_046</t>
  </si>
  <si>
    <t>Diag_0x22_Fun_047</t>
  </si>
  <si>
    <t>Diag_0x22_Fun_048</t>
  </si>
  <si>
    <t>Diag_0x22_Fun_049</t>
  </si>
  <si>
    <t>Diag_0x22_Fun_050</t>
  </si>
  <si>
    <t>Diag_0x22_Fun_051</t>
    <phoneticPr fontId="4" type="noConversion"/>
  </si>
  <si>
    <t>Diag_0x22_Fun_052</t>
  </si>
  <si>
    <t>Diag_0x22_Phy_053</t>
    <phoneticPr fontId="4" type="noConversion"/>
  </si>
  <si>
    <t>Diag_0x22_Phy_054</t>
  </si>
  <si>
    <t>Diag_0x22_Phy_055</t>
  </si>
  <si>
    <t>Diag_0x22_Phy_056</t>
  </si>
  <si>
    <t>Diag_0x22_Phy_057</t>
  </si>
  <si>
    <t>Diag_0x22_Phy_058</t>
  </si>
  <si>
    <t>Diag_0x22_Phy_059</t>
  </si>
  <si>
    <t>Diag_0x22_Phy_060</t>
  </si>
  <si>
    <t>Diag_0x22_Phy_061</t>
  </si>
  <si>
    <t>Diag_0x22_Phy_062</t>
  </si>
  <si>
    <t>Diag_0x22_Phy_063</t>
  </si>
  <si>
    <t>Diag_0x22_Phy_064</t>
  </si>
  <si>
    <t>Diag_0x22_Fun_065</t>
    <phoneticPr fontId="4" type="noConversion"/>
  </si>
  <si>
    <t>Diag_0x22_Fun_066</t>
  </si>
  <si>
    <t>Diag_0x22_Fun_067</t>
  </si>
  <si>
    <t>Diag_0x22_Fun_068</t>
  </si>
  <si>
    <t>Diag_0x22_Fun_069</t>
  </si>
  <si>
    <t>Diag_0x22_Fun_070</t>
  </si>
  <si>
    <t>Diag_0x22_Fun_071</t>
  </si>
  <si>
    <t>Diag_0x22_Fun_072</t>
  </si>
  <si>
    <t>Diag_0x22_Fun_073</t>
  </si>
  <si>
    <t>Diag_0x22_Fun_074</t>
  </si>
  <si>
    <t>Diag_0x22_Fun_075</t>
  </si>
  <si>
    <t>Diag_0x22_Fun_076</t>
  </si>
  <si>
    <t>Diag_0x22_Phy_077</t>
    <phoneticPr fontId="4" type="noConversion"/>
  </si>
  <si>
    <t>Diag_0x22_Phy_078</t>
  </si>
  <si>
    <t>Diag_0x22_Phy_079</t>
    <phoneticPr fontId="4" type="noConversion"/>
  </si>
  <si>
    <t>Diag_0x22_Phy_080</t>
  </si>
  <si>
    <t>Diag_0x22_Phy_081</t>
  </si>
  <si>
    <t>Diag_0x22_Phy_082</t>
  </si>
  <si>
    <t>Diag_0x22_Phy_083</t>
  </si>
  <si>
    <t>Diag_0x22_Phy_084</t>
  </si>
  <si>
    <t>Diag_0x22_Phy_085</t>
  </si>
  <si>
    <t>Diag_0x22_Phy_086</t>
  </si>
  <si>
    <t>Diag_0x22_Phy_087</t>
  </si>
  <si>
    <t>Diag_0x22_Phy_088</t>
  </si>
  <si>
    <t>Diag_0x22_Phy_089</t>
  </si>
  <si>
    <t>Diag_0x22_Phy_090</t>
  </si>
  <si>
    <t>Diag_0x22_Fun_091</t>
    <phoneticPr fontId="4" type="noConversion"/>
  </si>
  <si>
    <t>Diag_0x22_Fun_092</t>
  </si>
  <si>
    <t>Diag_0x22_Fun_093</t>
  </si>
  <si>
    <t>Diag_0x22_Fun_094</t>
  </si>
  <si>
    <t>Diag_0x22_Fun_095</t>
  </si>
  <si>
    <t>Diag_0x22_Fun_096</t>
  </si>
  <si>
    <t>Diag_0x22_Fun_097</t>
  </si>
  <si>
    <t>Diag_0x22_Fun_098</t>
  </si>
  <si>
    <t>Diag_0x22_Fun_099</t>
  </si>
  <si>
    <t>Diag_0x22_Fun_100</t>
  </si>
  <si>
    <t>Diag_0x22_Fun_101</t>
  </si>
  <si>
    <t>Diag_0x22_Fun_102</t>
  </si>
  <si>
    <t>Diag_0x22_Phy_103</t>
    <phoneticPr fontId="4" type="noConversion"/>
  </si>
  <si>
    <t>Diag_0x22_Phy_104</t>
  </si>
  <si>
    <t>默认会话到编程会话，应该恢复NRC 0x7E</t>
    <phoneticPr fontId="4" type="noConversion"/>
  </si>
  <si>
    <t>1.Check DiagData[50 01 00 32 01 F4]Within[50]ms;
2.Check DiagData[7F 10 7E]Within[50]ms;</t>
    <phoneticPr fontId="4" type="noConversion"/>
  </si>
  <si>
    <t>不支持31 01 02 03</t>
    <phoneticPr fontId="4" type="noConversion"/>
  </si>
  <si>
    <t>1.Send DiagBy[Physical]Data[10 01];
2.Delay[1000]ms;
3.Send DiagBy[Physical]Data[10 03];
5.Send DiagBy[Physical]Data[10 02];</t>
    <phoneticPr fontId="4" type="noConversion"/>
  </si>
  <si>
    <t>1.Check DiagData[50 01 00 32 01 F4]Within[50]ms;
3.Check DiagData[50 03 00 32 01 F4]Within[50]ms;
5.Check DiagData[50 02 00 32 01 F4]Within[50]ms;</t>
    <phoneticPr fontId="4" type="noConversion"/>
  </si>
  <si>
    <t xml:space="preserve">Chris </t>
  </si>
  <si>
    <t>Based on analysis of requirements</t>
    <phoneticPr fontId="4" type="noConversion"/>
  </si>
  <si>
    <t>Programming Session to  Extended Session PositiveCase-$10</t>
    <phoneticPr fontId="4" type="noConversion"/>
  </si>
  <si>
    <t>Programming Session to  Default Session PositiveCase-$10</t>
    <phoneticPr fontId="4" type="noConversion"/>
  </si>
  <si>
    <t>1.Power On</t>
    <phoneticPr fontId="4" type="noConversion"/>
  </si>
  <si>
    <t>Programming Session to  Programming Session PositiveCase-$10</t>
    <phoneticPr fontId="4" type="noConversion"/>
  </si>
  <si>
    <t>Based on analysis of requirements</t>
    <phoneticPr fontId="4" type="noConversion"/>
  </si>
  <si>
    <t>1.Send DiagBy[Physical]Data[10 01];
2.Send DiagBy[Physical]Data[10 03];
4.Send DiagBy[Physical]Data[10 02];
5.Send DiagBy[Physical]Data[10 01];</t>
    <phoneticPr fontId="4" type="noConversion"/>
  </si>
  <si>
    <t>1.Check DiagData[50 01 00 32 01 F4]Within[50]ms;
2.Check DiagData[50 03 00 32 01 F4]Within[50]ms;
4.Check DiagData[50 02 00 32 01 F4]Within[50]ms;
5.Check DiagData[50 01 00 32 01 F4]Within[50]ms;</t>
    <phoneticPr fontId="4" type="noConversion"/>
  </si>
  <si>
    <t>1.Send DiagBy[Physical]Data[10 01];
2.Send DiagBy[Physical]Data[10 03];
4.Send DiagBy[Physical]Data[10 02];
5.Send DiagBy[Physical]Data[10 02];</t>
    <phoneticPr fontId="4" type="noConversion"/>
  </si>
  <si>
    <t>1.Check DiagData[50 01 00 32 01 F4]Within[50]ms;
2.Check DiagData[50 03 00 32 01 F4]Within[50]ms;
4.Check DiagData[50 02 00 32 01 F4]Within[50]ms;
5.Check DiagData[50 02 00 32 01 F4]Within[50]ms;</t>
    <phoneticPr fontId="4" type="noConversion"/>
  </si>
  <si>
    <t>1.Send DiagBy[Physical]Data[10 01];
2.Send DiagBy[Physical]Data[10 03];
4.Send DiagBy[Physical]Data[10 02];
5.Send DiagBy[Physical]Data[10 03];</t>
    <phoneticPr fontId="4" type="noConversion"/>
  </si>
  <si>
    <t>会话跳转缺失编程开始的场景</t>
    <phoneticPr fontId="4" type="noConversion"/>
  </si>
  <si>
    <t>1.Check DiagData[50 01 00 32 01 F4]Within[50]ms;
2.Check DiagData[50 03 00 32 01 F4]Within[50]ms;
4.Check DiagData[50 02 00 32 01 F4]Within[50]ms;
5.Check DiagData[7F 10 7E]Within[50]ms;</t>
    <phoneticPr fontId="4" type="noConversion"/>
  </si>
  <si>
    <t>1.General
2.DiagnosticServices</t>
    <phoneticPr fontId="4" type="noConversion"/>
  </si>
  <si>
    <t>Default Session to  Default Session with SPRMIB PositiveCase-$10</t>
  </si>
  <si>
    <t>1.Power On</t>
    <phoneticPr fontId="4" type="noConversion"/>
  </si>
  <si>
    <t>Default Session to  Programming Session with SPRMIB NegativeCase-$10</t>
  </si>
  <si>
    <t>Default Session to  Extended Session with SPRMIB PositiveCase-$10</t>
  </si>
  <si>
    <t>Programming  Session to  Programming Session with SPRMIB PositiveCase-$10</t>
    <phoneticPr fontId="4" type="noConversion"/>
  </si>
  <si>
    <t>Based on analysis of requirements</t>
    <phoneticPr fontId="4" type="noConversion"/>
  </si>
  <si>
    <t>1.General
2.DiagnosticServices</t>
    <phoneticPr fontId="4" type="noConversion"/>
  </si>
  <si>
    <t>Programming  Session to  Programming Session with SPRMIB PositiveCase-$10</t>
    <phoneticPr fontId="4" type="noConversion"/>
  </si>
  <si>
    <t>Based on analysis of requirements</t>
    <phoneticPr fontId="4" type="noConversion"/>
  </si>
  <si>
    <t>1.Power On</t>
    <phoneticPr fontId="4" type="noConversion"/>
  </si>
  <si>
    <t>Programming  Session to  Extented Session with SPRMIB PositiveCase-$10</t>
    <phoneticPr fontId="4" type="noConversion"/>
  </si>
  <si>
    <t>1.Power On</t>
    <phoneticPr fontId="4" type="noConversion"/>
  </si>
  <si>
    <t>Extended Session to  Default Session with SPRMIB PositiveCase-$10</t>
  </si>
  <si>
    <t>Extended Session to  Programming Session with SPRMIB PositiveCase-$10</t>
    <phoneticPr fontId="4" type="noConversion"/>
  </si>
  <si>
    <t>1.General
2.DiagnosticServices</t>
    <phoneticPr fontId="4" type="noConversion"/>
  </si>
  <si>
    <t>Extended Session to  Extended Session with SPRMIB PositiveCase-$10</t>
  </si>
  <si>
    <t xml:space="preserve">
1.Send DiagBy[Physical]Data[10 03];
2.Send DiagBy[Physical]Data[10 83];
3.Send DiagBy[Physical]Data[22 F1 86];
</t>
    <phoneticPr fontId="4" type="noConversion"/>
  </si>
  <si>
    <t>1.Check DiagData[50 03 00 32 01 F4]Within[50]ms;
2.Check No_Response Within[1000]ms;
3.Check DiagData[62 F1 86 03]Within[50]ms;</t>
    <phoneticPr fontId="4" type="noConversion"/>
  </si>
  <si>
    <t xml:space="preserve">
1.Send DiagBy[Physical]Data[10 01];
2.Send DiagBy[Physical]Data[10 81];
</t>
    <phoneticPr fontId="4" type="noConversion"/>
  </si>
  <si>
    <t>1.Check DiagData[50 01 00 32 01 F4]Within[50]ms;
2.Check No_Response Within[1000]ms;</t>
    <phoneticPr fontId="4" type="noConversion"/>
  </si>
  <si>
    <t xml:space="preserve">
1.Send DiagBy[Physical]Data[10 01];
2.Send DiagBy[Physical]Data[10 82];
</t>
    <phoneticPr fontId="4" type="noConversion"/>
  </si>
  <si>
    <t>1.Check DiagData[50 01 00 32 01 F4]Within[50]ms;
2.Check DiagData[7F 10 7E]Within[50]ms;</t>
    <phoneticPr fontId="4" type="noConversion"/>
  </si>
  <si>
    <t>1.Send DiagBy[Physical]Data[10 01];
2.Delay[5000]ms;
3.Send DiagBy[Physical]Data[10 03];
4.Send DiagBy[Physical]Data[10 02];
5.Send DiagBy[Physical]Data[10 83];</t>
    <phoneticPr fontId="4" type="noConversion"/>
  </si>
  <si>
    <t>1.Check DiagData[50 01 00 32 01 F4]Within[50]ms;
3.Check DiagData[50 03 00 32 01 F4]Within[50]ms;
4.Check DiagData[50 02 00 32 01 F4]Within[50]ms;
5.Check DiagData[7F 10 22]Within[50]ms;</t>
    <phoneticPr fontId="4" type="noConversion"/>
  </si>
  <si>
    <t>1.Check DiagData[50 01 00 32 01 F4]Within[50]ms;
3.Check DiagData[50 03 00 32 01 F4]Within[50]ms;
4.Check No_Response Within[1000]ms;</t>
    <phoneticPr fontId="4" type="noConversion"/>
  </si>
  <si>
    <t xml:space="preserve">
1.Send DiagBy[Physical]Data[10 01];
2.Delay[5000]ms
3.Send DiagBy[Physical]Data[10 03];
4.Send DiagBy[Physical]Data[10 81];</t>
    <phoneticPr fontId="4" type="noConversion"/>
  </si>
  <si>
    <t xml:space="preserve">
1.Send DiagBy[Physical]Data[10 03];
2.Send DiagBy[Physical]Data[10 82];
</t>
    <phoneticPr fontId="4" type="noConversion"/>
  </si>
  <si>
    <t>1.Check DiagData[50 03 00 32 01 F4]Within[50]ms;
2.Check No_Response Within[1000]ms;</t>
    <phoneticPr fontId="4" type="noConversion"/>
  </si>
  <si>
    <t>1.Send DiagBy[Physical]Data[10 01];
2.Delay[3000]ms;
3.Send DiagBy[Physical]Data[10 03];
4.Send DiagBy[Physical]Data[10 02];
5.Send DiagBy[Physical]Data[10 82];</t>
    <phoneticPr fontId="4" type="noConversion"/>
  </si>
  <si>
    <t>1.Check DiagData[50 01 00 32 01 F4]Within[50]ms;
3.Check DiagData[50 03 00 32 01 F4]Within[50]ms;
4.Check DiagData[50 02 00 32 01 F4]Within[50]ms;
5.Check DiagData[7F 10 12]Within[50]ms;</t>
    <phoneticPr fontId="4" type="noConversion"/>
  </si>
  <si>
    <t>1.Send DiagBy[Physical]Data[10 01];
2.Delay[5000]ms;
3.Send DiagBy[Physical]Data[10 03];
4.Send DiagBy[Physical]Data[10 02];
5.Send DiagBy[Physical]Data[10 81];</t>
    <phoneticPr fontId="4" type="noConversion"/>
  </si>
  <si>
    <t>1.Check DiagData[50 01 00 32 01 F4]Within[50]ms;
3.Check DiagData[50 03 00 32 01 F4]Within[50]ms;
4.Check DiagData[50 02 00 32 01 F4]Within[50]ms;
5.Check No_Response Within[1000]ms;</t>
    <phoneticPr fontId="4" type="noConversion"/>
  </si>
  <si>
    <t xml:space="preserve">
1.Send DiagBy[Physical]Data[10 01];
2.Delay[5000]ms;
3.Send DiagBy[Physical]Data[10 83];
</t>
    <phoneticPr fontId="4" type="noConversion"/>
  </si>
  <si>
    <t>1.Check DiagData[50 01 00 32 01 F4]Within[50]ms;
3.Check No_Response Within[1000]ms;</t>
    <phoneticPr fontId="4" type="noConversion"/>
  </si>
  <si>
    <t xml:space="preserve">
1.Send DiagBy[Physical]Data[10 03];
2.Send DiagBy[Physical]Data[27 01]AndCheckResp[PositiveResponse];
3.Send Security Right KeyBy[Physical]Level[0x2]
4.Send DiagBy[Physical]Data[10 01];
</t>
  </si>
  <si>
    <t>缺失会话跳转中的01 ，02</t>
    <phoneticPr fontId="4" type="noConversion"/>
  </si>
  <si>
    <t>Security access L1 unlock supports jumping to Default Session</t>
    <phoneticPr fontId="4" type="noConversion"/>
  </si>
  <si>
    <t>Security access L1 unlock supports jumping to Extended Session</t>
    <phoneticPr fontId="4" type="noConversion"/>
  </si>
  <si>
    <t>1.Check DiagData[50 03 00 32 01 F4]Within[50]ms;
3.Check DiagData[67 02]Within[50]ms;
4.Check DiagData[50 01 00 32 01 F4]Within[50]ms;</t>
    <phoneticPr fontId="4" type="noConversion"/>
  </si>
  <si>
    <t xml:space="preserve">1.Check DiagData[50 03 00 32 01 F4]Within[50]ms;
3.Check DiagData[67 02]Within[50]ms;
4.Check DiagData[50 02 00 32 01 F4]Within[50]ms;
</t>
    <phoneticPr fontId="4" type="noConversion"/>
  </si>
  <si>
    <t xml:space="preserve">
1.Send DiagBy[Physical]Data[10 03];
2.Send DiagBy[Physical]Data[27 01]AndCheckResp[PositiveResponse];
3.Send Security Right KeyBy[Physical]Level[0x2]
4.Send DiagBy[Physical]Data[10 02];
</t>
    <phoneticPr fontId="4" type="noConversion"/>
  </si>
  <si>
    <t>1.Check DiagData[50 01 00 32 01 F4]Within[50]ms;
3.Check DiagData[50 03 00 32 01 F4]Within[50]ms;
5.Check DiagData[67 02]Within[100]ms;
6.Check DiagData[50 03 00 32 01 F4]Within[50]ms;</t>
    <phoneticPr fontId="4" type="noConversion"/>
  </si>
  <si>
    <t>1.Send DiagBy[Physical]Data[10 01];
2.Delay[1000]ms;
3.Send DiagBy[Physical]Data[10 03];
4.Set Voltage[0]V;
5.Delay[3000]ms;
6.Set Voltage[12]V;
7.Delay[3000]ms;
8.Send DiagBy[Physical]Data[27 01]AndCheckResp[0x7F];</t>
    <phoneticPr fontId="4" type="noConversion"/>
  </si>
  <si>
    <t>1.Check DiagData[50 01 00 32 01 F4]Within[50]ms;
3.Check DiagData[50 03 00 32 01 F4]Within[50]ms;</t>
    <phoneticPr fontId="4" type="noConversion"/>
  </si>
  <si>
    <t>1.Check DiagData[50 01 00 32 01 F4]Within[50]ms;
3.Check DiagData[50 03 00 32 01 F4]Within[50]ms;
4.Check DiagData[51 01]Within[50]ms;</t>
    <phoneticPr fontId="4" type="noConversion"/>
  </si>
  <si>
    <t>1.Send DiagBy[Physical]Data[10 01];
2.Delay[1000]ms;
3.Send DiagBy[Physical]Data[10 03];
4.Send DiagBy[Physical]Data[11 01];
5.Delay[1000]ms;
6.Send DiagBy[Physical]Data[27 01]AndCheckResp[0x7F];</t>
    <phoneticPr fontId="4" type="noConversion"/>
  </si>
  <si>
    <r>
      <t>不支持F1 86,验证策略可以改成访问27安全服务，例如：Send DiagBy[Physical]</t>
    </r>
    <r>
      <rPr>
        <b/>
        <sz val="10"/>
        <rFont val="宋体"/>
        <family val="3"/>
        <charset val="134"/>
      </rPr>
      <t>Data</t>
    </r>
    <r>
      <rPr>
        <sz val="10"/>
        <rFont val="宋体"/>
        <family val="3"/>
        <charset val="134"/>
      </rPr>
      <t>[27 01]AndCheckResp[0x7F];</t>
    </r>
    <phoneticPr fontId="4" type="noConversion"/>
  </si>
  <si>
    <t>陈亚-80025578</t>
    <phoneticPr fontId="4" type="noConversion"/>
  </si>
  <si>
    <t>Diag_0x10_Phy_010</t>
    <phoneticPr fontId="4" type="noConversion"/>
  </si>
  <si>
    <t>Diag_0x10_Phy_019</t>
    <phoneticPr fontId="4" type="noConversion"/>
  </si>
  <si>
    <t>Diag_0x10_Phy_022</t>
    <phoneticPr fontId="4" type="noConversion"/>
  </si>
  <si>
    <t>Diag_0x10_Phy_024</t>
    <phoneticPr fontId="4" type="noConversion"/>
  </si>
  <si>
    <t>Diag_0x10_Phy_023</t>
    <phoneticPr fontId="4" type="noConversion"/>
  </si>
  <si>
    <t xml:space="preserve">
1.Send DiagBy[Physical]Data[10 01];
2.Delay[2000]ms;
3.Send DiagBy[Physical]Data[10 03];
4.Send DiagBy[Physical]Data[27 01]AndCheckResp[PositiveResponse];
5.Send Security Right KeyBy[Physical]Level[0x2]
6.Send DiagBy[Physical]Data[10 03];
</t>
    <phoneticPr fontId="4" type="noConversion"/>
  </si>
  <si>
    <t>1.Send DiagBy[Physical]Data[10 01];
2.Delay[1000]ms;
3.Send DiagBy[Physical]Data[10 03];
4.Delay[4900]ms;
5.Send DiagBy[Physical]Data[27 01]AndCheckResp[PositiveResponse];</t>
    <phoneticPr fontId="4" type="noConversion"/>
  </si>
  <si>
    <t>1.Send DiagBy[Physical]Data[10 01];
2.Delay[1000]ms;
3.Send DiagBy[Physical]Data[10 03];
4.Delay[5100]ms;
5.Send DiagBy[Physical]Data[27 01]AndCheckResp[0x7F];</t>
    <phoneticPr fontId="4" type="noConversion"/>
  </si>
  <si>
    <t>1.Check DiagData[50 01 00 32 01 F4]Within[50]ms;
3.Check DiagData[50 03 00 32 01 F4]Within[50]ms;</t>
    <phoneticPr fontId="4" type="noConversion"/>
  </si>
  <si>
    <t>1.Check DiagData[50 01 00 32 01 F4]Within[50]ms;
3.Check DiagData[50 03 00 32 01 F4]Within[50]ms;</t>
    <phoneticPr fontId="4" type="noConversion"/>
  </si>
  <si>
    <t>Diag_0x10_Phy_026</t>
    <phoneticPr fontId="4" type="noConversion"/>
  </si>
  <si>
    <t>Diag_0x10_Phy_028</t>
    <phoneticPr fontId="4" type="noConversion"/>
  </si>
  <si>
    <t>1.Send DiagBy[Physical]Data[10 01];
2.Send DiagBy[Physical]Data[10 04]WithLen[1];</t>
    <phoneticPr fontId="4" type="noConversion"/>
  </si>
  <si>
    <t>1.Send DiagBy[Physical]Data[10 03];
2.Send DiagBy[Physical]Data[10 02];
3.Send DiagBy[Physical]Data[10 04];</t>
    <phoneticPr fontId="4" type="noConversion"/>
  </si>
  <si>
    <t>NRC 12 &gt; 33 — Voltage condition not met reports NRC 0x22</t>
    <phoneticPr fontId="4" type="noConversion"/>
  </si>
  <si>
    <t>1.Send DiagBy[Physical]Data[10 01];
2.Delay[1000]ms;
3.Send DiagBy[Physical]Data[10 03];
4.Send DiagBy[Physical]Data[27 01]AndCheckResp[PositiveResponse];
5.Send Security Right KeyBy[Physical]Level[02];
6.Send DiagBy[Physical]Data[10 04];</t>
    <phoneticPr fontId="4" type="noConversion"/>
  </si>
  <si>
    <t>1.Check DiagData[50 01 00 32 01 F4]Within[50]ms;
3.Check DiagData[50 03 00 32 01 F4]Within[50]ms;
5.Check DiagData[67 02]Within[50]ms;
6.Check DiagData[7F 10 12]Within[50]ms;</t>
    <phoneticPr fontId="4" type="noConversion"/>
  </si>
  <si>
    <t>不支持F1 86,验证策略可以改成访问27安全服务，例如：Send DiagBy[Funcational]Data[27 01]AndCheckResp[0x7F];</t>
  </si>
  <si>
    <t>1.Check DiagData[50 01 00 32 01 F4]Within[50]ms;
2.Check No_Response Within[50]ms;</t>
    <phoneticPr fontId="4" type="noConversion"/>
  </si>
  <si>
    <t>1.Check DiagData[50 01 00 32 01 F4]Within[50]ms;
2.Check DiagData[50 03 00 32 01 F4]Within[50]ms;
4.Check DiagData[50 02 00 32 01 F4]Within[50]ms;
5.Check No_Response Within[50]ms;</t>
    <phoneticPr fontId="4" type="noConversion"/>
  </si>
  <si>
    <t>1.Check DiagData[50 01 00 32 01 F4]Within[50]ms;
2.Check DiagData[50 03 00 32 01 F4]Within[50]ms;
4.Check DiagData[50 02 00 32 01 F4]Within[50]ms;
5.Check No_Response Within[50]ms;</t>
    <phoneticPr fontId="4" type="noConversion"/>
  </si>
  <si>
    <t>1.Check DiagData[50 01 00 32 01 F4]Within[50]ms;
3.Check DiagData[50 03 00 32 01 F4]Within[50]ms;
4.Check No_Response Within[50]ms;</t>
    <phoneticPr fontId="4" type="noConversion"/>
  </si>
  <si>
    <t>1.Check DiagData[50 01 00 32 01 F4]Within[50]ms;
3.Check DiagData[50 03 00 32 01 F4]Within[50]ms;
5.Check No_Response Within[50]ms;</t>
    <phoneticPr fontId="4" type="noConversion"/>
  </si>
  <si>
    <t>1.Check DiagData[50 03 00 32 01 F4]Within[50]ms;
3.Check DiagData[67 02]Within[50]ms;
4.Check No_Response Within[50]ms;</t>
    <phoneticPr fontId="4" type="noConversion"/>
  </si>
  <si>
    <t xml:space="preserve">1.Check DiagData[50 03 00 32 01 F4]Within[50]ms;
3.Check DiagData[67 02]Within[50]ms;
4.Check No_Response Within[50]ms;
</t>
    <phoneticPr fontId="4" type="noConversion"/>
  </si>
  <si>
    <t>1.Check DiagData[50 01 00 32 01 F4]Within[50]ms;
3.Check DiagData[50 03 00 32 01 F4]Within[50]ms;
5.Check DiagData[67 02]Within[100]ms;
6.Check No_Response Within[1000]ms;</t>
    <phoneticPr fontId="4" type="noConversion"/>
  </si>
  <si>
    <t>1.Check DiagData[50 01 00 32 01 F4]Within[50]ms;
3.Check No_Response Within[1000]ms;</t>
    <phoneticPr fontId="4" type="noConversion"/>
  </si>
  <si>
    <t>1.Send DiagBy[Funcational]Data[10 01];
2.Send SubTraversalBy[Funcational]Service[0x10]Excluding[01 02 03 81 83]AndCheckResp[0];</t>
    <phoneticPr fontId="4" type="noConversion"/>
  </si>
  <si>
    <t>1.Check DiagData[50 01 00 32 01 F4]Within[50]ms;
3.Check No_Response Within[1000]ms;</t>
    <phoneticPr fontId="4" type="noConversion"/>
  </si>
  <si>
    <t>1.Check DiagData[50 01 00 32 01 F4]Within[50]ms;
3.Check No_Response Within[1000]ms;</t>
    <phoneticPr fontId="4" type="noConversion"/>
  </si>
  <si>
    <t>1.Check DiagData[50 01 00 32 01 F4]Within[50]ms;
2.Check DiagData[7F 10 13]Within[50]ms;</t>
    <phoneticPr fontId="4" type="noConversion"/>
  </si>
  <si>
    <t>1.Check DiagData[50 03 00 32 01 F4]Within[50]ms;
2.Check DiagData[50 02 00 32 01 F4]Within[50]ms;
3.Check No_Response Within[1000]ms;</t>
    <phoneticPr fontId="4" type="noConversion"/>
  </si>
  <si>
    <t>1.Send DiagBy[Physical]Data[10 03];
2.Send DiagBy[Physical]Data[10 02];
3.Send DiagBy[Funcational]Data[10 04];</t>
    <phoneticPr fontId="4" type="noConversion"/>
  </si>
  <si>
    <t>1.Send DiagBy[Physical]Data[10 01];
2.Send DiagBy[Funcational]Data[10 04]WithLen[1];</t>
    <phoneticPr fontId="4" type="noConversion"/>
  </si>
  <si>
    <t>1.Send DiagBy[Physical]Data[10 01];
2.Send DiagBy[Funcational]Data[10 01]WithLen[1];</t>
    <phoneticPr fontId="4" type="noConversion"/>
  </si>
  <si>
    <t>1.Send DiagBy[Physical]Data[10 01];
2.Send DiagBy[Funcational]Data[10 01]WithLen[3];</t>
    <phoneticPr fontId="4" type="noConversion"/>
  </si>
  <si>
    <t>1.Send DiagBy[Physical]Data[10 01];
2.Delay[1000]ms;
3.Send DiagBy[Funcational]Data[10 03];
4.Delay[5100]ms;
5.Send DiagBy[Physical]Data[27 01]AndCheckResp[0x7F];</t>
    <phoneticPr fontId="4" type="noConversion"/>
  </si>
  <si>
    <t>1.Send DiagBy[Physical]Data[10 01];
2.Delay[1000]ms;
3.Send DiagBy[Funcational]Data[10 03];
4.Delay[4900]ms;
5.Send DiagBy[Physical]Data[27 01]AndCheckResp[PositiveResponse];</t>
    <phoneticPr fontId="4" type="noConversion"/>
  </si>
  <si>
    <t>1.Send DiagBy[Physical]Data[10 01];
2.Delay[1000]ms;
3.Send DiagBy[Funcational]Data[10 03];
4.Send SubTraversalBy[Funcational]Service[0x10]Excluding[01 02 03 81 83]AndCheckResp[0];</t>
    <phoneticPr fontId="4" type="noConversion"/>
  </si>
  <si>
    <t>1.Send DiagBy[Physical]Data[10 01];
2.Delay[1000]ms;
3.Send DiagBy[Physical]Data[10 03];
4.Send DiagBy[Funcational]Data[11 01];
5.Delay[1000]ms;
6.Send DiagBy[Physical]Data[27 01]AndCheckResp[0x7F];</t>
    <phoneticPr fontId="4" type="noConversion"/>
  </si>
  <si>
    <t>1.Send DiagBy[Physical]Data[10 01];
2.Delay[1000]ms;
3.Send DiagBy[Funcational]Data[10 03];
4.Set Voltage[0]V;
5.Delay[3000]ms;
6.Set Voltage[12]V;
7.Delay[3000]ms;
8.Send DiagBy[Physical]Data[27 01]AndCheckResp[0x7F];</t>
    <phoneticPr fontId="4" type="noConversion"/>
  </si>
  <si>
    <t xml:space="preserve">
1.Send DiagBy[Physical]Data[10 01];
2.Delay[2000]ms;
3.Send DiagBy[Physical]Data[10 03];
4.Send DiagBy[Physical]Data[27 01]AndCheckResp[PositiveResponse];
5.Send Security Right KeyBy[Physical]Level[0x2]
6.Send DiagBy[Funcational]Data[10 03];
</t>
    <phoneticPr fontId="4" type="noConversion"/>
  </si>
  <si>
    <t xml:space="preserve">
1.Send DiagBy[Physical]Data[10 03];
2.Send DiagBy[Physical]Data[27 01]AndCheckResp[PositiveResponse];
3.Send Security Right KeyBy[Physical]Level[0x2]
4.Send DiagBy[Funcational]Data[10 02];
</t>
    <phoneticPr fontId="4" type="noConversion"/>
  </si>
  <si>
    <t xml:space="preserve">
1.Send DiagBy[Physical]Data[10 03];
2.Send DiagBy[Physical]Data[27 01]AndCheckResp[PositiveResponse];
3.Send Security Right KeyBy[Funcational]Level[0x2]
4.Send DiagBy[Funcational]Data[10 01];
</t>
    <phoneticPr fontId="4" type="noConversion"/>
  </si>
  <si>
    <t xml:space="preserve">
1.Send DiagBy[Physical]Data[10 03];
2.Send DiagBy[Funcational]Data[10 83];
</t>
    <phoneticPr fontId="4" type="noConversion"/>
  </si>
  <si>
    <t>1.Check DiagData[50 03 00 32 01 F4]Within[50]ms;
2.Check No_Response Within[1000]ms;</t>
    <phoneticPr fontId="4" type="noConversion"/>
  </si>
  <si>
    <t xml:space="preserve">
1.Send DiagBy[Physical]Data[10 03];
2.Send DiagBy[Funcational]Data[10 82];
</t>
    <phoneticPr fontId="4" type="noConversion"/>
  </si>
  <si>
    <t xml:space="preserve">
1.Send DiagBy[Physical]Data[10 01];
2.Delay[5000]ms
3.Send DiagBy[Physical]Data[10 03];
4.Send DiagBy[Funcational]Data[10 81];</t>
    <phoneticPr fontId="4" type="noConversion"/>
  </si>
  <si>
    <t>1.Send DiagBy[Physical]Data[10 01];
2.Delay[5000]ms;
3.Send DiagBy[Physical]Data[10 03];
4.Send DiagBy[Physical]Data[10 02];
5.Send DiagBy[Funcational]Data[10 83];</t>
    <phoneticPr fontId="4" type="noConversion"/>
  </si>
  <si>
    <t>1.Send DiagBy[Physical]Data[10 01];
2.Delay[3000]ms;
3.Send DiagBy[Physical]Data[10 03];
4.Send DiagBy[Physical]Data[10 02];
5.Send DiagBy[Funcational]Data[10 82];</t>
    <phoneticPr fontId="4" type="noConversion"/>
  </si>
  <si>
    <t>1.Send DiagBy[Physical]Data[10 01];
2.Delay[5000]ms;
3.Send DiagBy[Physical]Data[10 03];
4.Send DiagBy[Physical]Data[10 02];
5.Send DiagBy[Funcational]Data[10 81];</t>
    <phoneticPr fontId="4" type="noConversion"/>
  </si>
  <si>
    <t xml:space="preserve">
1.Send DiagBy[Physical]Data[10 01];
2.Delay[5000]ms;
3.Send DiagBy[Funcational]Data[10 83];
</t>
    <phoneticPr fontId="4" type="noConversion"/>
  </si>
  <si>
    <t xml:space="preserve">
1.Send DiagBy[Physical]Data[10 01];
2.Send DiagBy[Funcational]Data[10 81];
</t>
    <phoneticPr fontId="4" type="noConversion"/>
  </si>
  <si>
    <t>1.Check DiagData[50 01 00 32 01 F4]Within[50]ms;
3.Check No_Response Within[1000]ms;</t>
    <phoneticPr fontId="4" type="noConversion"/>
  </si>
  <si>
    <t xml:space="preserve">
1.Send DiagBy[Physical]Data[10 01];
2.Send DiagBy[Funcational]Data[10 82];
</t>
    <phoneticPr fontId="4" type="noConversion"/>
  </si>
  <si>
    <t>1.Send DiagBy[Physical]Data[10 01];
2.Delay[1000]ms;
3.Send DiagBy[Physical]Data[10 03];
4.Send DiagBy[Funcational]Data[10 03];</t>
    <phoneticPr fontId="4" type="noConversion"/>
  </si>
  <si>
    <t>1.Send DiagBy[Physical]Data[10 01];
2.Delay[1000]ms;
3.Send DiagBy[Physical]Data[10 03];
5.Send DiagBy[Funcational]Data[10 02];</t>
    <phoneticPr fontId="4" type="noConversion"/>
  </si>
  <si>
    <t>1.Send DiagBy[Physical]Data[10 01];
2.Delay[1000]ms;
3.Send DiagBy[Physical]Data[10 03];
4.Send DiagBy[Funcational]Data[10 01];</t>
    <phoneticPr fontId="4" type="noConversion"/>
  </si>
  <si>
    <t>1.Send DiagBy[Physical]Data[10 01];
2.Send DiagBy[Physical]Data[10 03];
4.Send DiagBy[Physical]Data[10 02];
5.Send DiagBy[Funcational]Data[10 03];</t>
    <phoneticPr fontId="4" type="noConversion"/>
  </si>
  <si>
    <t>1.Check DiagData[50 01 00 32 01 F4]Within[50]ms;
3.Check DiagData[50 03 00 32 01 F4]Within[50]ms;
4.Check No_Response Within[50]ms;</t>
    <phoneticPr fontId="4" type="noConversion"/>
  </si>
  <si>
    <t>1.Check DiagData[50 01 00 32 01 F4]Within[50]ms;
2.Check DiagData[50 03 00 32 01 F4]Within[50]ms;
4.Check DiagData[50 02 00 32 01 F4]Within[50]ms;
5.Check No_Response Within[50]ms;</t>
    <phoneticPr fontId="4" type="noConversion"/>
  </si>
  <si>
    <t>1.Send DiagBy[Physical]Data[10 01];
2.Send DiagBy[Physical]Data[10 03];
4.Send DiagBy[Physical]Data[10 02];
5.Send DiagBy[Funcational]Data[10 02];</t>
    <phoneticPr fontId="4" type="noConversion"/>
  </si>
  <si>
    <t>1.Send DiagBy[Physical]Data[10 01];
2.Send DiagBy[Physical]Data[10 03];
4.Send DiagBy[Physical]Data[10 02];
5.Send DiagBy[Funcational]Data[10 01];</t>
    <phoneticPr fontId="4" type="noConversion"/>
  </si>
  <si>
    <t>1.Send DiagBy[Physical]Data[10 01];
2.Send DiagBy[Funcational]Data[10 03];</t>
    <phoneticPr fontId="4" type="noConversion"/>
  </si>
  <si>
    <t>1.Send DiagBy[Physical]Data[10 01];
2.Send DiagBy[Funcational]Data[10 02];</t>
    <phoneticPr fontId="4" type="noConversion"/>
  </si>
  <si>
    <t>1.Send DiagBy[Physical]Data[10 01];
2.Send DiagBy[Funcational]Data[10 01];</t>
    <phoneticPr fontId="4" type="noConversion"/>
  </si>
  <si>
    <t>Diag_0x10_Fun_026</t>
    <phoneticPr fontId="4" type="noConversion"/>
  </si>
  <si>
    <t>Diag_0x10_Fun_027</t>
  </si>
  <si>
    <t>Diag_0x10_Fun_028</t>
  </si>
  <si>
    <t>Diag_0x10_Fun_029</t>
  </si>
  <si>
    <t>Diag_0x10_Fun_030</t>
  </si>
  <si>
    <t>Diag_0x10_Fun_031</t>
  </si>
  <si>
    <t>Diag_0x10_Fun_032</t>
  </si>
  <si>
    <t>Diag_0x10_Fun_033</t>
  </si>
  <si>
    <t>Diag_0x10_Fun_034</t>
  </si>
  <si>
    <t>Diag_0x10_Fun_035</t>
    <phoneticPr fontId="4" type="noConversion"/>
  </si>
  <si>
    <t>Diag_0x10_Fun_036</t>
  </si>
  <si>
    <t>Diag_0x10_Fun_037</t>
  </si>
  <si>
    <t>Diag_0x10_Fun_038</t>
  </si>
  <si>
    <t>Diag_0x10_Fun_039</t>
  </si>
  <si>
    <t>Diag_0x10_Fun_040</t>
  </si>
  <si>
    <t>Diag_0x10_Fun_041</t>
  </si>
  <si>
    <t>Diag_0x10_Fun_042</t>
  </si>
  <si>
    <t>Diag_0x10_Fun_043</t>
  </si>
  <si>
    <t>Diag_0x10_Fun_044</t>
    <phoneticPr fontId="4" type="noConversion"/>
  </si>
  <si>
    <t>Diag_0x10_Fun_045</t>
  </si>
  <si>
    <t>Diag_0x10_Fun_046</t>
  </si>
  <si>
    <t>Diag_0x10_Fun_047</t>
    <phoneticPr fontId="4" type="noConversion"/>
  </si>
  <si>
    <t>Diag_0x10_Fun_048</t>
  </si>
  <si>
    <t>Diag_0x10_Fun_049</t>
    <phoneticPr fontId="4" type="noConversion"/>
  </si>
  <si>
    <t>Diag_0x10_Fun_050</t>
  </si>
  <si>
    <t>Diag_0x10_Fun_051</t>
    <phoneticPr fontId="4" type="noConversion"/>
  </si>
  <si>
    <t>Diag_0x10_Fun_052</t>
  </si>
  <si>
    <t>Diag_0x10_Fun_053</t>
    <phoneticPr fontId="4" type="noConversion"/>
  </si>
  <si>
    <t>Diag_0x10_Fun_054</t>
  </si>
  <si>
    <t>Diag_0x10_Fun_055</t>
    <phoneticPr fontId="4" type="noConversion"/>
  </si>
  <si>
    <t>Diag_0x10_Fun_056</t>
  </si>
  <si>
    <t>Diag_0x10_Fun_057</t>
  </si>
  <si>
    <t>1.Check DiagData[50 01 00 32 01 F4]Within[50]ms;
3.Check DiagData[50 03 00 32 01 F4]Within[50]ms;
5.Check DiagData[67 02]Within[50]ms;
6.Check No_Response Within[1000]ms;</t>
    <phoneticPr fontId="4" type="noConversion"/>
  </si>
  <si>
    <t>1.Send DiagBy[Physical]Data[10 01];
2.Delay[1000]ms;
3.Send DiagBy[Physical]Data[10 03];
4.Send DiagBy[Physical]Data[27 01]AndCheckResp[PositiveResponse];
5.Send Security Right KeyBy[Physical]Level[02];
6.Send DiagBy[Funcational]Data[10 04];</t>
    <phoneticPr fontId="4" type="noConversion"/>
  </si>
  <si>
    <t>2.2 SPRMIB Test</t>
    <phoneticPr fontId="4" type="noConversion"/>
  </si>
  <si>
    <t>2.3 Secure Access Test</t>
    <phoneticPr fontId="4" type="noConversion"/>
  </si>
  <si>
    <t>2.4 ECU Reset Test</t>
    <phoneticPr fontId="4" type="noConversion"/>
  </si>
  <si>
    <t>2.5 Sub-function Traversal Test</t>
    <phoneticPr fontId="4" type="noConversion"/>
  </si>
  <si>
    <t>2.6 S3 Server Timer Test</t>
    <phoneticPr fontId="4" type="noConversion"/>
  </si>
  <si>
    <t>2.7 Incorrect Diagnostic Command Test</t>
    <phoneticPr fontId="4" type="noConversion"/>
  </si>
  <si>
    <t>2.8 NRC Priority Test</t>
    <phoneticPr fontId="4" type="noConversion"/>
  </si>
  <si>
    <t>3.Boot Service\_Physical Addressing</t>
    <phoneticPr fontId="4" type="noConversion"/>
  </si>
  <si>
    <t>3.1 Session Layer Test</t>
    <phoneticPr fontId="4" type="noConversion"/>
  </si>
  <si>
    <t>3.2 SPRMIB Test</t>
    <phoneticPr fontId="4" type="noConversion"/>
  </si>
  <si>
    <t>3.3 Secure Access Test</t>
    <phoneticPr fontId="4" type="noConversion"/>
  </si>
  <si>
    <t>3.4 ECU Reset Test</t>
    <phoneticPr fontId="4" type="noConversion"/>
  </si>
  <si>
    <t>3.5 Sub-function Traversal Test</t>
    <phoneticPr fontId="4" type="noConversion"/>
  </si>
  <si>
    <t>3.6 S3 Server Timer Test</t>
    <phoneticPr fontId="4" type="noConversion"/>
  </si>
  <si>
    <t>3.7 Incorrect Diagnostic Command Test</t>
    <phoneticPr fontId="4" type="noConversion"/>
  </si>
  <si>
    <t>3.8 NRC Priority Test</t>
    <phoneticPr fontId="4" type="noConversion"/>
  </si>
  <si>
    <t>4.Boot Service\_Functional Addressing</t>
    <phoneticPr fontId="4" type="noConversion"/>
  </si>
  <si>
    <t>4.1 Session Layer Test</t>
    <phoneticPr fontId="4" type="noConversion"/>
  </si>
  <si>
    <t>4.2 SPRMIB Test</t>
    <phoneticPr fontId="4" type="noConversion"/>
  </si>
  <si>
    <t>4.3 Secure Access Test</t>
    <phoneticPr fontId="4" type="noConversion"/>
  </si>
  <si>
    <t>4.4 ECU Reset Test</t>
    <phoneticPr fontId="4" type="noConversion"/>
  </si>
  <si>
    <t>4.5 Sub-function Traversal Test</t>
    <phoneticPr fontId="4" type="noConversion"/>
  </si>
  <si>
    <t>4.6 S3 Server Timer Test</t>
    <phoneticPr fontId="4" type="noConversion"/>
  </si>
  <si>
    <t>4.7 Incorrect Diagnostic Command Test</t>
    <phoneticPr fontId="4" type="noConversion"/>
  </si>
  <si>
    <t>4.8 NRC Priority Test</t>
    <phoneticPr fontId="4" type="noConversion"/>
  </si>
  <si>
    <t>Diag_0x10_Phy_058</t>
    <phoneticPr fontId="4" type="noConversion"/>
  </si>
  <si>
    <t>Diag_0x10_Phy_059</t>
  </si>
  <si>
    <t>Diag_0x10_Phy_060</t>
  </si>
  <si>
    <t>Diag_0x10_Phy_061</t>
  </si>
  <si>
    <t>Diag_0x10_Phy_062</t>
  </si>
  <si>
    <t>Diag_0x10_Phy_063</t>
  </si>
  <si>
    <t>Diag_0x10_Phy_064</t>
  </si>
  <si>
    <t>Diag_0x10_Phy_065</t>
  </si>
  <si>
    <t>Diag_0x10_Phy_066</t>
  </si>
  <si>
    <t>Diag_0x10_Phy_067</t>
    <phoneticPr fontId="4" type="noConversion"/>
  </si>
  <si>
    <t>Diag_0x10_Phy_068</t>
  </si>
  <si>
    <t>Diag_0x10_Phy_069</t>
  </si>
  <si>
    <t>Diag_0x10_Phy_070</t>
  </si>
  <si>
    <t>Diag_0x10_Phy_071</t>
  </si>
  <si>
    <t>Diag_0x10_Phy_072</t>
  </si>
  <si>
    <t>Diag_0x10_Phy_073</t>
  </si>
  <si>
    <t>Diag_0x10_Phy_074</t>
  </si>
  <si>
    <t>Diag_0x10_Phy_075</t>
  </si>
  <si>
    <t>Diag_0x10_Phy_076</t>
    <phoneticPr fontId="4" type="noConversion"/>
  </si>
  <si>
    <t>Diag_0x10_Phy_077</t>
  </si>
  <si>
    <t>Diag_0x10_Phy_078</t>
  </si>
  <si>
    <t>Diag_0x10_Phy_079</t>
    <phoneticPr fontId="4" type="noConversion"/>
  </si>
  <si>
    <t>Diag_0x10_Phy_080</t>
  </si>
  <si>
    <t>Diag_0x10_Phy_081</t>
    <phoneticPr fontId="4" type="noConversion"/>
  </si>
  <si>
    <t>Diag_0x10_Phy_082</t>
  </si>
  <si>
    <t>Diag_0x10_Phy_083</t>
    <phoneticPr fontId="4" type="noConversion"/>
  </si>
  <si>
    <t>Diag_0x10_Phy_084</t>
  </si>
  <si>
    <t>Diag_0x10_Phy_085</t>
    <phoneticPr fontId="4" type="noConversion"/>
  </si>
  <si>
    <t>Diag_0x10_Phy_086</t>
  </si>
  <si>
    <t>Diag_0x10_Phy_087</t>
    <phoneticPr fontId="4" type="noConversion"/>
  </si>
  <si>
    <t>Diag_0x10_Phy_088</t>
  </si>
  <si>
    <t>Diag_0x10_Phy_089</t>
    <phoneticPr fontId="4" type="noConversion"/>
  </si>
  <si>
    <t>Diag_0x10_Fun_090</t>
    <phoneticPr fontId="4" type="noConversion"/>
  </si>
  <si>
    <t>Diag_0x10_Fun_091</t>
  </si>
  <si>
    <t>Diag_0x10_Fun_092</t>
  </si>
  <si>
    <t>Diag_0x10_Fun_093</t>
  </si>
  <si>
    <t>Diag_0x10_Fun_094</t>
  </si>
  <si>
    <t>Diag_0x10_Fun_095</t>
  </si>
  <si>
    <t>Diag_0x10_Fun_096</t>
  </si>
  <si>
    <t>Diag_0x10_Fun_097</t>
  </si>
  <si>
    <t>Diag_0x10_Fun_098</t>
  </si>
  <si>
    <t>Diag_0x10_Fun_099</t>
    <phoneticPr fontId="4" type="noConversion"/>
  </si>
  <si>
    <t>Diag_0x10_Fun_100</t>
  </si>
  <si>
    <t>Diag_0x10_Fun_101</t>
  </si>
  <si>
    <t>Diag_0x10_Fun_102</t>
  </si>
  <si>
    <t>Diag_0x10_Fun_103</t>
  </si>
  <si>
    <t>Diag_0x10_Fun_104</t>
  </si>
  <si>
    <t>Diag_0x10_Fun_105</t>
  </si>
  <si>
    <t>Diag_0x10_Fun_106</t>
  </si>
  <si>
    <t>Diag_0x10_Fun_107</t>
  </si>
  <si>
    <t>Diag_0x10_Fun_108</t>
    <phoneticPr fontId="4" type="noConversion"/>
  </si>
  <si>
    <t>Diag_0x10_Fun_109</t>
  </si>
  <si>
    <t>Diag_0x10_Fun_110</t>
  </si>
  <si>
    <t>Diag_0x10_Fun_111</t>
    <phoneticPr fontId="4" type="noConversion"/>
  </si>
  <si>
    <t>Diag_0x10_Fun_112</t>
  </si>
  <si>
    <t>Diag_0x10_Fun_113</t>
    <phoneticPr fontId="4" type="noConversion"/>
  </si>
  <si>
    <t>Diag_0x10_Fun_114</t>
  </si>
  <si>
    <t>Diag_0x10_Fun_115</t>
    <phoneticPr fontId="4" type="noConversion"/>
  </si>
  <si>
    <t>Diag_0x10_Fun_116</t>
  </si>
  <si>
    <t>Diag_0x10_Fun_117</t>
    <phoneticPr fontId="4" type="noConversion"/>
  </si>
  <si>
    <t>Diag_0x10_Fun_118</t>
  </si>
  <si>
    <t>Diag_0x10_Fun_119</t>
    <phoneticPr fontId="4" type="noConversion"/>
  </si>
  <si>
    <t>Diag_0x10_Fun_120</t>
  </si>
  <si>
    <t>Diag_0x10_Fun_121</t>
  </si>
  <si>
    <t>Sequence Number</t>
    <phoneticPr fontId="4" type="noConversion"/>
  </si>
  <si>
    <t>1.Application Service\_Physical Addressing</t>
    <phoneticPr fontId="4" type="noConversion"/>
  </si>
  <si>
    <t>测试步骤中不应该出现step  1:</t>
    <phoneticPr fontId="4" type="noConversion"/>
  </si>
  <si>
    <t>1.Send DiagBy[Physical]Data[10 03];
2.Send SubTraversalBy[Physical]Service[0x11]Excluding[01 81]AndCheckResp[0x12];</t>
  </si>
  <si>
    <t>1.Send DiagBy[Physical]Data[10 03];
2.Send DiagBy[Function]Data[11 01];
3.Delay[1000]ms;</t>
  </si>
  <si>
    <t>1.Send DiagBy[Physical]Data[10 03];
2.Send DiagBy[Function]Data[11 02];
3.Delay[1000]ms;</t>
  </si>
  <si>
    <t>1.Send DiagBy[Physical]Data[10 03];
2.Send DiagBy[Function]Data[11 03];
3.Delay[1000]ms;</t>
  </si>
  <si>
    <t>1.Send DiagBy[Physical]Data[10 03];
2.Send DiagBy[Physical]Data[27 01]AndCheckResp[PositiveResponse];
3.Send Security Right KeyBy[Physical]Level[02];
4.Send DiagBy[Physical]Data[11 01];
5.Delay[1000]ms;</t>
  </si>
  <si>
    <t>1.Send DiagBy[Physical]Data[10 03];
2.Set Voltage[17.0]V;
3.Delay[1000]ms;
4.Send DiagBy[Physical]Data[11 01];
5.Set Voltage[12]V;</t>
  </si>
  <si>
    <t>1.Send DiagBy[Physical]Data[10 01];
2.Delay[1000]ms;
3.Send DiagBy[Physical]Data[10 03];
5.Send DiagBy[Physical]Data[10 02];
6.Send DiagBy[Physical]Data[11 01];
7.Delay[1000]ms;</t>
    <phoneticPr fontId="4" type="noConversion"/>
  </si>
  <si>
    <t>1.Send DiagBy[Physical]Data[10 03];
2.Send DiagBy[Physical]Data[11 01];
3.Delay[1000]ms;</t>
    <phoneticPr fontId="4" type="noConversion"/>
  </si>
  <si>
    <t>1.Send DiagBy[Physical]Data[10 01];
2.Send DiagBy[Physical]Data[11 81];
3.Delay[1000]ms;</t>
    <phoneticPr fontId="4" type="noConversion"/>
  </si>
  <si>
    <t>1.Send DiagBy[Physical]Data[10 01];
2.Delay[1000]ms;
3.Send DiagBy[Physical]Data[10 03];
5.Send DiagBy[Physical]Data[10 02];
6.Send DiagBy[Physical]Data[11 81];
7.Delay[1000]ms;</t>
    <phoneticPr fontId="4" type="noConversion"/>
  </si>
  <si>
    <t>1.Send DiagBy[Physical]Data[10 01];
2.Send DiagBy[Physical]Data[11 01];
3.Delay[1000]ms;</t>
    <phoneticPr fontId="4" type="noConversion"/>
  </si>
  <si>
    <t>1.Send DiagBy[Physical]Data[10 03];
2.Send DiagBy[Physical]Data[11 81];
3.Delay[1000]ms;</t>
    <phoneticPr fontId="4" type="noConversion"/>
  </si>
  <si>
    <t>根据需求，suppressPosRspMsgIndicationBit= TRUE (1)
(No response) 说明不支持抑制位，所以这里需要回复NRC 12</t>
    <phoneticPr fontId="4" type="noConversion"/>
  </si>
  <si>
    <t>1.Send DiagBy[Physical]Data[10 03];
2.Send DiagBy[Physical]Data[11 01];
3.Delay[1000]ms;</t>
    <phoneticPr fontId="4" type="noConversion"/>
  </si>
  <si>
    <t>测试过程中，不能出现结果检查</t>
    <phoneticPr fontId="4" type="noConversion"/>
  </si>
  <si>
    <t>Diag_0x11_Phy_010</t>
    <phoneticPr fontId="4" type="noConversion"/>
  </si>
  <si>
    <t>1.Send DiagBy[Physical]Data[10 03];
2.Send DiagBy[Physical]Data[28 01 01];
3.Send DiagBy[Physical]Data[11 01];
4.Delay[1000]ms;</t>
    <phoneticPr fontId="4" type="noConversion"/>
  </si>
  <si>
    <t>1.Send DiagBy[Physical]Data[10 01];
2.Send SubTraversalBy[Physical]Service[0x11]Excluding[01 81]AndCheckResp[0x7F];</t>
    <phoneticPr fontId="4" type="noConversion"/>
  </si>
  <si>
    <t>1.Send DiagBy[Physics]Data[10 03];
2.Send DiagBy[Physics]Data[11 01]WithLen[3];</t>
  </si>
  <si>
    <t>1.Check DiagData[50 03 00 32 00 C8]Within[50]ms;
2.Check DiagData[7F 11 13]Within[50]ms;</t>
  </si>
  <si>
    <t>1.Send DiagBy[Physics]Data[10 03];
2.Send DiagBy[Physics]Data[11 01]WithLen[1];</t>
  </si>
  <si>
    <t>Valid SF_DL=2, invalid SF_DL &gt; 2, and those with invalid equivalence class SF_DL=3  NegativeCase-$11</t>
  </si>
  <si>
    <t>Valid SF_DL=2, invalid SF_DL &lt; 2, and those with invalid equivalence class SF_DL=1 NegativeCase-$11</t>
  </si>
  <si>
    <t>SF_DL Error Test</t>
    <phoneticPr fontId="4" type="noConversion"/>
  </si>
  <si>
    <t>1.Send DiagBy[Physics]Data[10 03];
2.Send DiagBy[Physics]Data[11 05]WithLen[1];</t>
    <phoneticPr fontId="4" type="noConversion"/>
  </si>
  <si>
    <t>1.Send DiagBy[Physical]Data[10 01];
2.Send DiagBy[Physical]Data[11 05];</t>
    <phoneticPr fontId="4" type="noConversion"/>
  </si>
  <si>
    <t>1.Send DiagBy[Physical]Data[10 01];
2.Delay[1000]ms;
3.Send DiagBy[Physical]Data[10 03];
5.Send DiagBy[Physical]Data[10 02];
6.Send SubTraversalBy[Physical]Service[0x11]Excluding[01 81]AndCheckResp[0x12];</t>
    <phoneticPr fontId="4" type="noConversion"/>
  </si>
  <si>
    <t>1.Send DiagBy[Physical]Data[10 03];
2.Send DiagBy[Physical]Data[27 01]AndCheckResp[PositiveResponse];
3.Send Security Right KeyBy[Physical]Level[02];
4.Send DiagBy[Physical]Data[11 01];
5.Delay[1000]ms;
7.Send DiagBy[Physical]Data[27 01];</t>
    <phoneticPr fontId="4" type="noConversion"/>
  </si>
  <si>
    <t>NRC 33 &gt; 7F</t>
    <phoneticPr fontId="4" type="noConversion"/>
  </si>
  <si>
    <t>NRC 22 &gt; 33</t>
    <phoneticPr fontId="4" type="noConversion"/>
  </si>
  <si>
    <t>1.Send DiagBy[Physical]Data[10 03];
设置车速等于10km/h
2.Set Signal[TachographVehicleSpeed]Value[10];
3.Send DiagBy[Physical]Data[85 02]WithLen[3];</t>
    <phoneticPr fontId="4" type="noConversion"/>
  </si>
  <si>
    <t>1.Send DiagBy[Physical]Data[10 03];
2.Send DiagBy[Physical]Data[27 01]AndCheckResp[PositiveResponse];
3.Send Security Right KeyBy[Physical]Level[02];
4.Send DiagBy[Physical]Data[11 01];</t>
    <phoneticPr fontId="4" type="noConversion"/>
  </si>
  <si>
    <t>1.Send DiagBy[Physical]Data[10 03];
2.Set Voltage[8.0]V;
3.Delay[1000]ms;
4.Send DiagBy[Physical]Data[11 01];
5.Set Voltage[12]V;</t>
    <phoneticPr fontId="4" type="noConversion"/>
  </si>
  <si>
    <t>1.Send DiagBy[Physical]Data[10 03];
2.Send DiagBy[Physical]Data[27 01]AndCheckResp[PositiveResponse];
3.Send Security Right KeyBy[Physical]Level[02];
设置车速等于10km/h
4.Set Signal[TachographVehicleSpeed]Value[10];
5.Send DiagBy[Physical]Data[11 01];</t>
    <phoneticPr fontId="4" type="noConversion"/>
  </si>
  <si>
    <t>Diag_0x11_Phy_025</t>
    <phoneticPr fontId="4" type="noConversion"/>
  </si>
  <si>
    <t>Diag_0x11_Phy_028</t>
    <phoneticPr fontId="4" type="noConversion"/>
  </si>
  <si>
    <t>Diag_0x11_Phy_031</t>
    <phoneticPr fontId="4" type="noConversion"/>
  </si>
  <si>
    <t>Diag_0x11_Phy_032</t>
    <phoneticPr fontId="4" type="noConversion"/>
  </si>
  <si>
    <t>Diag_0x11_Phy_033</t>
    <phoneticPr fontId="4" type="noConversion"/>
  </si>
  <si>
    <t>Diag_0x11_Phy_034</t>
    <phoneticPr fontId="4" type="noConversion"/>
  </si>
  <si>
    <t>Diag_0x11_Phy_035</t>
    <phoneticPr fontId="4" type="noConversion"/>
  </si>
  <si>
    <t>Diag_0x11_Phy_038</t>
    <phoneticPr fontId="4" type="noConversion"/>
  </si>
  <si>
    <t>Diag_0x11_Phy_040</t>
    <phoneticPr fontId="4" type="noConversion"/>
  </si>
  <si>
    <t>Diag_0x11_Phy_044</t>
    <phoneticPr fontId="4" type="noConversion"/>
  </si>
  <si>
    <t>Diag_0x11_Fun_046</t>
    <phoneticPr fontId="4" type="noConversion"/>
  </si>
  <si>
    <t>Diag_0x11_Fun_047</t>
  </si>
  <si>
    <t>Diag_0x11_Fun_048</t>
  </si>
  <si>
    <t>1.Send DiagBy[Physical]Data[10 01];
2.Delay[1000]ms;
3.Send DiagBy[Physical]Data[10 03];
5.Send DiagBy[Physical]Data[10 02];
6.Send DiagBy[Physical]Data[14 FF FF FF];</t>
    <phoneticPr fontId="4" type="noConversion"/>
  </si>
  <si>
    <t>1.Send DiagBy[Physical]Data[10 01];
2.Delay[1000]ms;
3.Send DiagBy[Physical]Data[10 03];
5.Send DiagBy[Physical]Data[10 02];
6.Send DiagBy[Function]Data[14 FF FF FF];</t>
    <phoneticPr fontId="4" type="noConversion"/>
  </si>
  <si>
    <t>1.Send DiagBy[Physical]Data[10 01];
2.Delay[1000]ms;
3.Send DiagBy[Physical]Data[10 03];
5.Send DiagBy[Physical]Data[10 02];
6.Send DiagBy[Physical]Data[10 01];
7.Send DiagBy[Function]Data[14 FF FF FF];</t>
    <phoneticPr fontId="4" type="noConversion"/>
  </si>
  <si>
    <t>1.Send DiagBy[Physical]Data[10 01];
2.Delay[1000]ms;
3.Send DiagBy[Physical]Data[10 03];
5.Send DiagBy[Physical]Data[10 02];
6.Send DiagBy[Physical]Data[10 03];
7.Send DiagBy[Physical]Data[14 FF FF FF];</t>
    <phoneticPr fontId="4" type="noConversion"/>
  </si>
  <si>
    <t>1.Send DiagBy[Physical]Data[10 01];
2.Delay[1000]ms;
3.Send DiagBy[Physical]Data[10 03];
5.Send DiagBy[Physical]Data[10 02];
6.Send DiagBy[Physical]Data[10 01];
7.Send DiagBy[Physical]Data[14 FF FF FF];</t>
    <phoneticPr fontId="4" type="noConversion"/>
  </si>
  <si>
    <t>1.Send DiagBy[Physical]Data[10 01];
2.Delay[1000]ms;
3.Send DiagBy[Physical]Data[10 03];
5.Send DiagBy[Physical]Data[10 02];
6.Send DiagBy[Physical]Data[10 03];
7.Send DiagBy[Function]Data[14 FF FF FF];</t>
    <phoneticPr fontId="4" type="noConversion"/>
  </si>
  <si>
    <t>测试过程中不能出现check结果检查</t>
    <phoneticPr fontId="4" type="noConversion"/>
  </si>
  <si>
    <t>Diag_0x27_Phy_001</t>
    <phoneticPr fontId="4" type="noConversion"/>
  </si>
  <si>
    <r>
      <t xml:space="preserve">Send DiagBy[Physical]Data[10 01];
</t>
    </r>
    <r>
      <rPr>
        <sz val="10"/>
        <rFont val="宋体"/>
        <family val="3"/>
        <charset val="134"/>
      </rPr>
      <t>Send DiagBy[Physical]Data[27 01];</t>
    </r>
    <phoneticPr fontId="4" type="noConversion"/>
  </si>
  <si>
    <t>1.General
2.DiagnosticServices</t>
    <phoneticPr fontId="4" type="noConversion"/>
  </si>
  <si>
    <t>Based on analysis of requirements</t>
    <phoneticPr fontId="4" type="noConversion"/>
  </si>
  <si>
    <t xml:space="preserve">
1.Power On;
</t>
    <phoneticPr fontId="4" type="noConversion"/>
  </si>
  <si>
    <t>Programing Session nonsupport 0x27 Service security access level 4 Negativecase-$27</t>
    <phoneticPr fontId="4" type="noConversion"/>
  </si>
  <si>
    <t>1.Power On</t>
    <phoneticPr fontId="4" type="noConversion"/>
  </si>
  <si>
    <t>1.Power On</t>
    <phoneticPr fontId="4" type="noConversion"/>
  </si>
  <si>
    <t>Extended Session nonsupport 0x27 Service security access level 4 Negativecase-$27</t>
  </si>
  <si>
    <t>1.2 SPRMIB Test</t>
    <phoneticPr fontId="4" type="noConversion"/>
  </si>
  <si>
    <t>1.General
2.DiagnosticServices</t>
    <phoneticPr fontId="4" type="noConversion"/>
  </si>
  <si>
    <t>The 0x27 nonsupport  SPRMIB Negativecase-$27</t>
    <phoneticPr fontId="4" type="noConversion"/>
  </si>
  <si>
    <t>1.Power On</t>
    <phoneticPr fontId="4" type="noConversion"/>
  </si>
  <si>
    <t>1.3 Secure Access Test</t>
    <phoneticPr fontId="4" type="noConversion"/>
  </si>
  <si>
    <t>Does not meet the secure access process, only requests seeds, a negative test case where secure access cannot be unlocked  Negativecase-$27</t>
    <phoneticPr fontId="4" type="noConversion"/>
  </si>
  <si>
    <t>Based on analysis of requirements</t>
    <phoneticPr fontId="4" type="noConversion"/>
  </si>
  <si>
    <t>Does not meet the secure access process, only sending the key; a negative test case where secure access cannot be unlocked  Negativecase-$27</t>
    <phoneticPr fontId="4" type="noConversion"/>
  </si>
  <si>
    <t>Meet the secure access process: request the seed first, then send the key — a PositiveResponse use case for secure access unlocking.  ativecase-$27</t>
  </si>
  <si>
    <t xml:space="preserve">
1.Send DiagBy[Physical]Data[10 01];
2.Send DiagBy[Physical]Data[10 03];
3.Send DiagBy[Physical]Data[27 01]AndCheckResp[PositiveResponse];
4.Send Security Right KeyBy[Physical]Level[0x2];
5.Send DiagBy[Physical]Data[2E F1 90 56 4E 53 5A 48 49 54 54 45 43 48 30 30 30 30 30 31];
</t>
    <phoneticPr fontId="4" type="noConversion"/>
  </si>
  <si>
    <t>Failure to comply with the secure access process: sending the key first, then requesting the seed—an unresolvable reverse case for secure access.-$27</t>
    <phoneticPr fontId="4" type="noConversion"/>
  </si>
  <si>
    <t xml:space="preserve">
1.Send DiagBy[Physical]Data[10 01];
2.Send DiagBy[Physical]Data[10 03];
3.Send DiagBy[Physical]Data[27 02];
4.Send DiagBy[Physical]Data[2E F1 90 56 4E 53 5A 48 49 54 54 45 43 48 30 30 30 30 30 31];
</t>
    <phoneticPr fontId="4" type="noConversion"/>
  </si>
  <si>
    <t>Failure to comply with the secure access process: sending the key first, then requesting the seed—an unresolvable reverse case for secure access.-$27</t>
    <phoneticPr fontId="4" type="noConversion"/>
  </si>
  <si>
    <t xml:space="preserve">
1.Send DiagBy[Physical]Data[10 01];
2.Send DiagBy[Physical]Data[10 03];
3.Send DiagBy[Physical]Data[27 01]AndCheckResp[PositiveResponse];
4.Send Security Right KeyBy[Physical]Level[0x2];
5.Send DiagBy[Physical]Data[27 01]AndCheckResp[PositiveResponse];</t>
    <phoneticPr fontId="4" type="noConversion"/>
  </si>
  <si>
    <t>1.4 Security Request Process Test</t>
    <phoneticPr fontId="4" type="noConversion"/>
  </si>
  <si>
    <t>Meets the maximum of 3 failed attempts; does not meet the reverse test case with a lockout time of 10 secondse-$27</t>
    <phoneticPr fontId="4" type="noConversion"/>
  </si>
  <si>
    <t>1.Power On</t>
    <phoneticPr fontId="4" type="noConversion"/>
  </si>
  <si>
    <t>1.Send DiagBy[Physical]Data[10 01];
2.Send DiagBy[Physical]Data[10 03];
3.Send DiagBy[Physical]Data[27 01]AndCheckResp[PositiveResponse];
4.Send Security Wrong KeyBy[Physical]Level[0x2];
5.Send DiagBy[Physical]Data[3E 00];
6.Send DiagBy[Physical]Data[27 01]AndCheckResp[PositiveResponse];
7.Send Security Wrong KeyBy[Physical]Level[0x2];
8.Send DiagBy[Physical]Data[3E 00];
9.Send DiagBy[Physical]Data[27 01]AndCheckResp[PositiveResponse];
10.Send Security Wrong KeyBy[Physical]Level[0x2];
11.Send DiagBy[Physical]Data[27 01]AndCheckResp[0x37];</t>
    <phoneticPr fontId="4" type="noConversion"/>
  </si>
  <si>
    <t>A PositiveResponse test case that meets a maximum of 3 failed attempts and a lockout duration of 10 seconds.-$27</t>
  </si>
  <si>
    <t>1.Send DiagBy[Physical]Data[10 01];
2.Send DiagBy[Physical]Data[10 03];
3.Send DiagBy[Physical]Data[27 01]AndCheckResp[PositiveResponse];
4.Send Security Wrong KeyBy[Physical]Level[0x2];
5.Send DiagBy[Physical]Data[27 01]AndCheckResp[PositiveResponse];
6.Send Security Wrong KeyBy[Physical]Level[0x2];
7.Send DiagBy[Physical]Data[27 01]AndCheckResp[PositiveResponse];
8.Send Security Wrong KeyBy[Physical]Level[0x2];
9.Delay[4000]ms;
10.Send DiagBy[Physical]Data[3E 00]AndCheckResp[PositiveResponse];
11.Delay[4000]ms;
12.Send DiagBy[Physical]Data[3E 00]AndCheckResp[PositiveResponse];
13.Delay[4000]ms;
14.Send DiagBy[Physical]Data[27 01]AndCheckResp[PositiveResponse];</t>
    <phoneticPr fontId="4" type="noConversion"/>
  </si>
  <si>
    <t>A negative test case where the maximum number of secure access attempts (with incorrect keys) is reached and the 10-second delay has not elapsed, and a PositiveResponse test case where secure access is successfully unlocked and the secure access error counter is decremented by 1..-$27</t>
    <phoneticPr fontId="4" type="noConversion"/>
  </si>
  <si>
    <t>Based on analysis of requirements</t>
    <phoneticPr fontId="4" type="noConversion"/>
  </si>
  <si>
    <t>1.Send DiagBy[Physical]Data[10 01];
2.Send DiagBy[Physical]Data[10 03];
3.Send DiagBy[Physical]Data[27 01]AndCheckResp[PositiveResponse];
4.Send Security Wrong KeyBy[Physical]Level[0x2];
6.Send DiagBy[Physical]Data[27 01]AndCheckResp[PositiveResponse];
7.Send Security Wrong KeyBy[Physical]Level[0x2];
9.Send DiagBy[Physical]Data[27 01]AndCheckResp[PositiveResponse];
10.Send Security Wrong KeyBy[Physical]Level[0x2];
11.Delay[2500]ms;
12.Send DiagBy[Physical]Data[3E 00]AndCheckResp[PositiveResponse]
13.Delay[2500]ms;
14.Send DiagBy[Physical]Data[3E 00]AndCheckResp[PositiveResponse]
15.Send DiagBy[Physical]Data[27 01]AndCheckResp[0x37];
16.Delay[3000]ms;
17.Send DiagBy[Physical]Data[3E 00]AndCheckResp[PositiveResponse]
18.Delay[3000]ms;
19.Send DiagBy[Physical]Data[3E 00]AndCheckResp[PositiveResponse]
20.Send DiagBy[Physical]Data[27 01]AndCheckResp[PositiveResponse];
21.Send Security Right KeyBy[Physical]Level[0x2];
22.Send DiagBy[Physical]Data[27 01]AndCheckResp[PositiveResponse];
23.Send Security Wrong KeyBy[Physical]Level[0x2];</t>
    <phoneticPr fontId="4" type="noConversion"/>
  </si>
  <si>
    <t>When the maximum number of safe access attempts (wrong key) = 4 is reached, successfully unlock once to support a subsequent unlocking PositiveResponse scenario..-$27</t>
  </si>
  <si>
    <t>1.Send DiagBy[Physical]Data[10 01];
2.Send DiagBy[Physical]Data[10 03];
3.Send DiagBy[Physical]Data[27 01]AndCheckResp[PositiveResponse];
4.Send Security Wrong KeyBy[Physical]Level[0x2];
6.Send DiagBy[Physical]Data[27 01]AndCheckResp[PositiveResponse];
7.Send Security Wrong KeyBy[Physical]Level[0x2];
9.Send DiagBy[Physical]Data[27 01]AndCheckResp[PositiveResponse];
10.Send Security Wrong KeyBy[Physical]Level[0x2];
11.Delay[2500]ms;
12.Send DiagBy[Physical]Data[3E 00]AndCheckResp[PositiveResponse]
13.Delay[2500]ms;
14.Send DiagBy[Physical]Data[3E 00]AndCheckResp[PositiveResponse]
15.Send DiagBy[Physical]Data[27 01]AndCheckResp[0x37];
16.Delay[3000]ms;
17.Send DiagBy[Physical]Data[3E 00]AndCheckResp[PositiveResponse]
18.Delay[3000]ms;
19.Send DiagBy[Physical]Data[3E 00]AndCheckResp[PositiveResponse]
20.Send DiagBy[Physical]Data[27 01]AndCheckResp[PositiveResponse];
22.Send Security Wrong KeyBy[Physical]Level[0x2];
23.Delay[2500]ms;
24.Send DiagBy[Physical]Data[3E 00]AndCheckResp[PositiveResponse]
25.Delay[2500]ms;
26.Send DiagBy[Physical]Data[3E 00]AndCheckResp[PositiveResponse]
27.Send DiagBy[Physical]Data[27 01]AndCheckResp[0x37];
28.Delay[3000]ms;
29.Send DiagBy[Physical]Data[3E 00]AndCheckResp[PositiveResponse]
30.Delay[3000]ms;
31.Send DiagBy[Physical]Data[3E 00]AndCheckResp[PositiveResponse]
32.Send DiagBy[Physical]Data[27 01]AndCheckResp[PositiveResponse];
33.Send Security Right KeyBy[Physical]Level[0x2];
34.Send DiagBy[Physical]Data[10 03];
35.Send DiagBy[Physical]Data[27 01]AndCheckResp[PositiveResponse];
36.Send Security Wrong KeyBy[Physical]Level[0x2];</t>
    <phoneticPr fontId="4" type="noConversion"/>
  </si>
  <si>
    <t>A PositiveResponse test case where SAcounter equals 3 after reset when FAAflag = True, after reaching the maximum number of safe access attempts (wrong key)..-$27</t>
    <phoneticPr fontId="4" type="noConversion"/>
  </si>
  <si>
    <t>1.Send DiagBy[Physical]Data[10 01];
2.Send DiagBy[Physical]Data[10 03];
3.Send DiagBy[Physical]Data[27 01]AndCheckResp[PositiveResponse];
4.Send Security Wrong KeyBy[Physical]Level[0x2];
5.Send DiagBy[Physical]Data[27 01]AndCheckResp[PositiveResponse];
6.Send Security Wrong KeyBy[Physical]Level[0x2];
7.Send DiagBy[Physical]Data[27 01]AndCheckResp[PositiveResponse];
8.Send Security Wrong KeyBy[Physical]Level[0x2];
9.Delay[2500]ms;
10.Send DiagBy[Physical]Data[3E 00]AndCheckResp[PositiveResponse]
11.Delay[2500]ms;
12.Send DiagBy[Physical]Data[3E 00]AndCheckResp[PositiveResponse]
13.Send DiagBy[Physical]Data[27 01]AndCheckResp[0x37];
14.Delay[3000]ms;
15.Send DiagBy[Physical]Data[3E 00]AndCheckResp[PositiveResponse]
16.Delay[3000]ms;
17.Send DiagBy[Physical]Data[3E 00]AndCheckResp[PositiveResponse]
18.Send DiagBy[Physical]Data[27 01]AndCheckResp[PositiveResponse];
19.Send Security Wrong KeyBy[Physical]Level[0x2];
20.Delay[2000]ms;
21.Set Voltage[0]V
22.Delay[5000]ms;
23.Set Voltage[13.5]V
24.Delay[5000]ms;
25.Send DiagBy[Physical]Data[10 03];
26.Delay[2500]ms;
27.Send DiagBy[Physical]Data[3E 00]AndCheckResp[PositiveResponse]
28.Delay[2500]ms;
29.Send DiagBy[Physical]Data[3E 00]AndCheckResp[PositiveResponse];
30.Send DiagBy[Physical]Data[27 01]AndCheckResp[0x37];
31.Delay[3000]ms;
32.Send DiagBy[Physical]Data[3E 00]AndCheckResp[PositiveResponse]
33.Delay[3000]ms;
34.Send DiagBy[Physical]Data[3E 00]AndCheckResp[PositiveResponse]
35.Send DiagBy[Physical]Data[27 01]AndCheckResp[PositiveResponse];
36.Send Security Right KeyBy[Physical]Level[0x2];
37.Send DiagBy[Physical]Data[10 03];
38.Send DiagBy[Physical]Data[27 01]AndCheckResp[PositiveResponse];
39.Send Security Right KeyBy[Physical]Level[0x2];
40.Send DiagBy[Physical]Data[10 03];
41.Send DiagBy[Physical]Data[27 01]AndCheckResp[PositiveResponse];
42.Send Security Wrong KeyBy[Physical]Level[0x2];
43.Send DiagBy[Physical]Data[10 03];
44.Send DiagBy[Physical]Data[27 01]AndCheckResp[PositiveResponse];
45.Send Security Wrong KeyBy[Physical]Level[0x2];</t>
    <phoneticPr fontId="4" type="noConversion"/>
  </si>
  <si>
    <t>A PositiveResponse test case where SAcounter after reset when FAAflag = True, after reaching the maximum number of safe access attempts (wrong key)..-$27</t>
  </si>
  <si>
    <t>1.Send DiagBy[Physical]Data[10 01];
2.Send DiagBy[Physical]Data[10 03];
3.Send DiagBy[Physical]Data[27 01]AndCheckResp[PositiveResponse];
4.Send Security Wrong KeyBy[Physical]Level[0x2];
5.Send DiagBy[Physical]Data[27 01]AndCheckResp[PositiveResponse];
6.Send Security Wrong KeyBy[Physical]Level[0x2];
7.Send DiagBy[Physical]Data[27 01]AndCheckResp[PositiveResponse];
8.Send Security Wrong KeyBy[Physical]Level[0x2];
9.Delay[2500]ms;
10.Send DiagBy[Physical]Data[3E 00]AndCheckResp[PositiveResponse]
11.Delay[2500]ms;
12.Send DiagBy[Physical]Data[3E 00]AndCheckResp[PositiveResponse]
13.Send DiagBy[Physical]Data[27 01]AndCheckResp[0x37];
14.Delay[3000]ms;
15.Send DiagBy[Physical]Data[3E 00]AndCheckResp[PositiveResponse]
16.Delay[3000]ms;
17.Send DiagBy[Physical]Data[3E 00]AndCheckResp[PositiveResponse]
18.Send DiagBy[Physical]Data[27 01]AndCheckResp[PositiveResponse];
19.Send Security Right KeyBy[Physical]Level[0x2];
20.Delay[2000]ms;
21.Set Voltage[0]V
22.Delay[5000]ms;
23.Set Voltage[13.5]V
24.Delay[5000]ms;
25.Send DiagBy[Physical]Data[10 03];
26.Delay[2500]ms;
27.Send DiagBy[Physical]Data[3E 00]AndCheckResp[PositiveResponse]
28.Send DiagBy[Physical]Data[27 01]AndCheckResp[PositiveResponse];
29.Send Security Wrong KeyBy[Physical]Level[0x2];
30.Send DiagBy[Physical]Data[27 01]AndCheckResp[PositiveResponse];
31.Send Security Wrong KeyBy[Physical]Level[0x2];
32.Send DiagBy[Physical]Data[27 01]AndCheckResp[PositiveResponse];
33.Send Security Wrong KeyBy[Physical]Level[0x2];</t>
    <phoneticPr fontId="4" type="noConversion"/>
  </si>
  <si>
    <t>1.General
2.DiagnosticServices</t>
    <phoneticPr fontId="4" type="noConversion"/>
  </si>
  <si>
    <t>Reverse test case for reaching the maximum number of safe access attempts (wrong key) and the 10-second safe access delay after hardware reset.-$27</t>
    <phoneticPr fontId="4" type="noConversion"/>
  </si>
  <si>
    <t>1.Send DiagBy[Physical]Data[10 01];
2.Send DiagBy[Physical]Data[10 03];
3.Send DiagBy[Physical]Data[27 01]AndCheckResp[PositiveResponse];
4.Send Security Wrong KeyBy[Physical]Level[0x2];
5.Send DiagBy[Physical]Data[3E 00]AndCheckResp[PositiveResponse]
6.Send DiagBy[Physical]Data[27 01]AndCheckResp[PositiveResponse];
7.Send Security Wrong KeyBy[Physical]Level[0x2];
8.Send DiagBy[Physical]Data[3E 00]AndCheckResp[PositiveResponse]
9.Send DiagBy[Physical]Data[27 01]AndCheckResp[PositiveResponse];
10.Send Security Wrong KeyBy[Physical]Level[0x2];
11.Delay[3000]ms;
12.Send DiagBy[Physical]Data[3E 00]AndCheckResp[PositiveResponse]
13.Send DiagBy[Physical]Data[11 01];
14.Delay[5000]ms;
15.Send DiagBy[Physical]Data[10 03];
16.Delay[2500]ms;
17.Send DiagBy[Physical]Data[3E 00]AndCheckResp[PositiveResponse]
18.Delay[2500]ms;
19.Send DiagBy[Physical]Data[3E 00]AndCheckResp[PositiveResponse]
20.Send DiagBy[Physical]Data[27 01]AndCheckResp[PositiveResponse];
21.Delay[3000]ms;
22.Send DiagBy[Physical]Data[3E 00]AndCheckResp[PositiveResponse]
23.Delay[3000]ms;
24.Send DiagBy[Physical]Data[3E 00]AndCheckResp[PositiveResponse]
25.Send DiagBy[Physical]Data[27 01]AndCheckResp[PositiveResponse];</t>
    <phoneticPr fontId="4" type="noConversion"/>
  </si>
  <si>
    <t>1.General
2.DiagnosticServices</t>
    <phoneticPr fontId="4" type="noConversion"/>
  </si>
  <si>
    <t>Reverse test case for reaching the maximum number of secure access attempts (wrong key), with a 10-second secure access delay after power cycling.-$27</t>
    <phoneticPr fontId="4" type="noConversion"/>
  </si>
  <si>
    <t>1.Power On</t>
    <phoneticPr fontId="4" type="noConversion"/>
  </si>
  <si>
    <t>1.Send DiagBy[Physical]Data[10 01];
2.Send DiagBy[Physical]Data[10 03];
3.Send DiagBy[Physical]Data[27 01]AndCheckResp[PositiveResponse];
4.Send Security Wrong KeyBy[Physical]Level[0x2];
5.Send DiagBy[Physical]Data[3E 00]AndCheckResp[PositiveResponse]
6.Send DiagBy[Physical]Data[27 01]AndCheckResp[PositiveResponse];
7.Send Security Wrong KeyBy[Physical]Level[0x2];
8.Send DiagBy[Physical]Data[3E 00]AndCheckResp[PositiveResponse]
9.Send DiagBy[Physical]Data[27 01]AndCheckResp[PositiveResponse];
10.Send Security Wrong KeyBy[Physical]Level[0x2];
11.Delay[2500]ms;
12.Send DiagBy[Physical]Data[3E 00]AndCheckResp[PositiveResponse]
13.Delay[2500]ms;
14.Send DiagBy[Physical]Data[3E 00]AndCheckResp[PositiveResponse]
15.Send DiagBy[Physical]Data[27 01]AndCheckResp[0x37];
16.Delay[3000]ms;
17.Send DiagBy[Physical]Data[3E 00]AndCheckResp[PositiveResponse]
18.Delay[3000]ms;
19.Send DiagBy[Physical]Data[3E 00]AndCheckResp[PositiveResponse]
20.Send DiagBy[Physical]Data[27 01]AndCheckResp[PositiveResponse];</t>
    <phoneticPr fontId="4" type="noConversion"/>
  </si>
  <si>
    <t>A negative test case where the maximum number of safe access attempts (request seed) is reached but the 10-second delay has not elapsed, and a PositiveResponse test case where safe access is successfully unlocked and the safe access counter decreases by 1..-$27</t>
  </si>
  <si>
    <t>1.Send DiagBy[Physical]Data[10 01];
2.Send DiagBy[Physical]Data[10 03];
3.Send DiagBy[Physical]Data[27 01]AndCheckResp[PositiveResponse];
4.Send DiagBy[Physical]Data[27 01]AndCheckResp[PositiveResponse];
5.Send DiagBy[Physical]Data[27 01]AndCheckResp[PositiveResponse];
6.Send DiagBy[Physical]Data[27 01]AndCheckResp[0x37];
7.Delay[2500]ms;
8.Send DiagBy[Physical]Data[3E 00]AndCheckResp[PositiveResponse]
9.Delay[2500]ms;
10.Send DiagBy[Physical]Data[3E 00]AndCheckResp[PositiveResponse]
11.Send DiagBy[Physical]Data[27 01]AndCheckResp[0x37];;
12.Delay[3000]ms;
13.Send DiagBy[Physical]Data[3E 00]AndCheckResp[PositiveResponse]
14.Delay[3000]ms;
15.Send DiagBy[Physical]Data[3E 00]AndCheckResp[PositiveResponse]
16.Send DiagBy[Physical]Data[27 01]AndCheckResp[PositiveResponse];
17.Send Security Right KeyBy[Physical]Level[0x2];
18.Delay[50]ms;
19.Send DiagBy[Physical]Data[3E 00]AndCheckResp[PositiveResponse]
20.Send DiagBy[Physical]Data[10 03];
21.Send DiagBy[Physical]Data[27 01]AndCheckResp[PositiveResponse];
22.Send DiagBy[Physical]Data[27 01]AndCheckResp[PositiveResponse];</t>
    <phoneticPr fontId="4" type="noConversion"/>
  </si>
  <si>
    <t>When the maximum number of safe access attempts (request seed) reaches 4, successfully unlock one PositiveResponse case that supports unlocking again..-$27</t>
    <phoneticPr fontId="4" type="noConversion"/>
  </si>
  <si>
    <t>0.Send DiagBy[Physical]Data[10 01];
1.Send DiagBy[Physical]Data[10 03];
2.Send DiagBy[Physical]Data[27 01]AndCheckResp[PositiveResponse];
3.Send DiagBy[Physical]Data[27 01]AndCheckResp[PositiveResponse];
4.Send DiagBy[Physical]Data[27 01]AndCheckResp[PositiveResponse];
5.Send DiagBy[Physical]Data[27 01]AndCheckResp[0x37];
6.Delay[2500]ms;
7.Send DiagBy[Physical]Data[3E 00]AndCheckResp[PositiveResponse]
8.Delay[2500]ms;
9.Send DiagBy[Physical]Data[3E 00]AndCheckResp[PositiveResponse]
10.Send DiagBy[Physical]Data[27 01]AndCheckResp[0x37];
12.Delay[3000]ms;
13.Send DiagBy[Physical]Data[3E 00]AndCheckResp[PositiveResponse]
14.Delay[3000]ms;
15.Send DiagBy[Physical]Data[3E 00]AndCheckResp[PositiveResponse]
16.Send DiagBy[Physical]Data[27 01]AndCheckResp[PositiveResponse];
17.Send Security Right KeyBy[Physical]Level[0x2];
18.Send DiagBy[Physical]Data[10 03];
19.Send DiagBy[Physical]Data[27 01]AndCheckResp[PositiveResponse];
20.Send Security Right KeyBy[Physical]Level[0x2];
21.Send DiagBy[Physical]Data[27 01]AndCheckResp[PositiveResponse];
22.Send DiagBy[Physical]Data[27 01]AndCheckResp[PositiveResponse];
23.Send DiagBy[Physical]Data[27 01]AndCheckResp[PositiveResponse];</t>
    <phoneticPr fontId="4" type="noConversion"/>
  </si>
  <si>
    <t>Maximum number of safe access attempts (request seed) When FAAflag = True, SAcounter equals 3 after reset - PositiveResponse use case - PositiveResponsecase-$27+A30:M36I30D30:I32A30:M38I30D30:I32</t>
    <phoneticPr fontId="4" type="noConversion"/>
  </si>
  <si>
    <t>2.Power On</t>
  </si>
  <si>
    <t>0.Send DiagBy[Physical]Data[10 01];
1.Send DiagBy[Physical]Data[10 03];
2.Send DiagBy[Physical]Data[27 01]AndCheckResp[PositiveResponse];
3.Send DiagBy[Physical]Data[27 01]AndCheckResp[PositiveResponse];
4.Send DiagBy[Physical]Data[27 01]AndCheckResp[PositiveResponse];
5.Send DiagBy[Physical]Data[27 01]AndCheckResp[0x37];
6.Delay[2500]ms;
7.Send DiagBy[Physical]Data[3E 00]AndCheckResp[PositiveResponse]
8.Delay[2500]ms;
9.Send DiagBy[Physical]Data[3E 00]AndCheckResp[PositiveResponse]
10.Send DiagBy[Physical]Data[27 01]AndCheckResp[0x37];
12.Delay[3000]ms;
13.Send DiagBy[Physical]Data[3E 00]AndCheckResp[PositiveResponse]
14.Delay[3000]ms;
15.Send DiagBy[Physical]Data[3E 00]AndCheckResp[PositiveResponse]
16.Send DiagBy[Physical]Data[27 01]AndCheckResp[PositiveResponse];
17.Send DiagBy[Physical]Data[27 01]AndCheckResp[0x37];
18.Set Voltage[0]V;
19.Delay[3000]ms;
20.Set Voltage[12]V;
21.Delay[2000]ms;
22.Send DiagBy[Physical]Data[10 03];
23.Delay[2500]ms;
24.Send DiagBy[Physical]Data[3E 00]AndCheckResp[PositiveResponse]
25.Delay[2500]ms;
26.Send DiagBy[Physical]Data[3E 00]AndCheckResp[PositiveResponse]
27.Send DiagBy[Physical]Data[27 01]AndCheckResp[PositiveResponse];
28.Delay[3000]ms;
29.Send DiagBy[Physical]Data[3E 00]AndCheckResp[PositiveResponse]
30.Delay[3000]ms;
31.Send DiagBy[Physical]Data[3E 00]AndCheckResp[PositiveResponse]
32.Send DiagBy[Physical]Data[27 01]AndCheckResp[PositiveResponse];
33.Send Security Right KeyBy[Physical]Level[0x2];
34.Send DiagBy[Physical]Data[10 03];
35.Send DiagBy[Physical]Data[27 01]AndCheckResp[PositiveResponse];
36.Send Security Right KeyBy[Physical]Level[0x2];
37.Send DiagBy[Physical]Data[27 01]AndCheckResp[PositiveResponse];
38.Send DiagBy[Physical]Data[27 01]AndCheckResp[PositiveResponse];
39.Send DiagBy[Physical]Data[27 01]AndCheckResp[PositiveResponse];
40.Send DiagBy[Physical]Data[27 01]AndCheckResp[0x37];</t>
    <phoneticPr fontId="4" type="noConversion"/>
  </si>
  <si>
    <t>A PositiveResponse test case where the maximum number of safe access attempts (request seed) is reached, FAAflag = False, and SAcounter equals 0 after resetting-$27</t>
  </si>
  <si>
    <t>3.Power On</t>
  </si>
  <si>
    <t xml:space="preserve">1.Send DiagBy[Physical]Data[10 03];
4.Send DiagBy[Physical]Data[27 01]AndCheckResp[PositiveResponse];
5.Send DiagBy[Physical]Data[27 01]AndCheckResp[PositiveResponse];
6.Send DiagBy[Physical]Data[27 01]AndCheckResp[PositiveResponse];
7.Send DiagBy[Physical]Data[27 01]AndCheckResp[0x37];
8.Delay[2500]ms
9.Send DiagBy[Physical]Data[3E 00]AndCheckResp[PositiveResponse]
10.Delay[2500]ms
11.Send DiagBy[Physical]Data[3E 00]AndCheckResp[PositiveResponse]
12.Send DiagBy[Physical]Data[27 01]AndCheckResp[0x37];
13.Delay[3000]ms
14.Send DiagBy[Physical]Data[3E 00]AndCheckResp[PositiveResponse]
15.Delay[3000]ms
16.Send DiagBy[Physical]Data[3E 00]AndCheckResp[PositiveResponse]
17.Send DiagBy[Physical]Data[27 01]AndCheckResp[PositiveResponse];
18.Send Security Right KeyBy[Physical]Level[0x2];
19.Delay[2000]ms;
20.Set Voltage[0]V
21.Delay[3000]ms;
22.Set Voltage[13.5]V
23.Delay[5000]ms;
24.Send DiagBy[Physical]Data[10 03];
25.Send DiagBy[Physical]Data[27 01]AndCheckResp[PositiveResponse];
26.Send Security Wrong KeyBy[Physical]Level[0x2];
31.Send DiagBy[Physical]Data[27 01]AndCheckResp[PositiveResponse];
32.Send Security Wrong KeyBy[Physical]Level[0x2];
33.Send DiagBy[Physical]Data[27 01]AndCheckResp[PositiveResponse];
34.Send Security Wrong KeyBy[Physical]Level[0x2];
</t>
    <phoneticPr fontId="4" type="noConversion"/>
  </si>
  <si>
    <t>1.General
2.DiagnosticServices</t>
    <phoneticPr fontId="4" type="noConversion"/>
  </si>
  <si>
    <t>Maximum number of safe access attempts (request seed) hardware reset enabled 10s delay time - PositiveResponse Response case - $27</t>
    <phoneticPr fontId="4" type="noConversion"/>
  </si>
  <si>
    <t>4.Power On</t>
  </si>
  <si>
    <t>Maximum number of safe access attempts (request seed) hardware reset enabled 10s delay time - PositiveResponse Response case - $27</t>
  </si>
  <si>
    <t>5.Power On</t>
  </si>
  <si>
    <t xml:space="preserve">1.Send DiagBy[Physical]Data[10 03];
4.Send DiagBy[Physical]Data[27 01]AndCheckResp[PositiveResponse];
5.Send DiagBy[Physical]Data[27 01]AndCheckResp[PositiveResponse];
6.Send DiagBy[Physical]Data[27 01]AndCheckResp[PositiveResponse];
7.Send DiagBy[Physical]Data[27 01]AndCheckResp[0x37];
8.Delay[3000]ms
9.Set Voltage[0]V
10.Delay[3000]ms;
11.Set Voltage[13.5]V
12.Delay[5000]ms;
13.Send DiagBy[Physical]Data[10 03];
14.Delay[2500]ms;
15.Send DiagBy[Physical]Data[3E 00]AndCheckResp[PositiveResponse]
16.Delay[2500]ms;
17.Send DiagBy[Physical]Data[3E 00]AndCheckResp[PositiveResponse]
15.Send DiagBy[Physical]Data[27 01]AndCheckResp[PositiveResponse];
16.Delay[2500]ms;
17.Send DiagBy[Physical]Data[3E 00]AndCheckResp[PositiveResponse]
18.Delay[2500]ms;
19.Send DiagBy[Physical]Data[3E 00]AndCheckResp[PositiveResponse]
20.Send DiagBy[Physical]Data[27 01]AndCheckResp[PositiveResponse];
</t>
    <phoneticPr fontId="4" type="noConversion"/>
  </si>
  <si>
    <t>When requesting seeds consecutively, the fourth seed request triggers a 10-second wait - PositiveResponse Response Case-$27 - PositiveResponse Response Case-$27</t>
  </si>
  <si>
    <t>Based on analysis of requirements</t>
    <phoneticPr fontId="4" type="noConversion"/>
  </si>
  <si>
    <t>6.Power On</t>
    <phoneticPr fontId="4" type="noConversion"/>
  </si>
  <si>
    <t>1.Send DiagBy[Physical]Data[10 03];
2.Send DiagBy[Physical]Data[27 01]AndCheckResp[PositiveResponse];
3.Send Security Right KeyBy[Physical]Level[0x2];
4.Send DiagBy[Physical]Data[27 01]AndCheckResp[PositiveResponse];
5.Send DiagBy[Physical]Data[27 01]AndCheckResp[PositiveResponse];
6.Send DiagBy[Physical]Data[27 01]AndCheckResp[PositiveResponse];
7.Delay[4000]ms;
8.Send DiagBy[Physical]Data[3E 00]AndCheckResp[PositiveResponse]
9.Delay[4000]ms;
10.Send DiagBy[Physical]Data[3E 00]AndCheckResp[PositiveResponse]
11.Delay[4000]ms;
12.Send DiagBy[Physical]Data[3E 00]AndCheckResp[PositiveResponse]
13.Delay[4000]ms;
14.Send DiagBy[Physical]Data[3E 00]AndCheckResp[PositiveResponse]
15.Delay[4000]ms;
16.Send DiagBy[Physical]Data[3E 00]AndCheckResp[PositiveResponse]
17.Delay[4000]ms;
18.Send DiagBy[Physical]Data[3E 00]AndCheckResp[PositiveResponse]
19.Delay[4000]ms;
20.Send DiagBy[Physical]Data[3E 00]AndCheckResp[PositiveResponse]
21.Delay[4000]ms;
22.Send DiagBy[Physical]Data[3E 00]AndCheckResp[PositiveResponse]
23.Delay[4000]ms;
24.Send DiagBy[Physical]Data[3E 00]AndCheckResp[PositiveResponse]
25.Delay[4000]ms;
26.Send DiagBy[Physical]Data[3E 00]AndCheckResp[PositiveResponse]
27.Delay[4000]ms;
28.Send DiagBy[Physical]Data[3E 00]AndCheckResp[PositiveResponse]
29.Delay[4000]ms;
30.Send DiagBy[Physical]Data[3E 00]AndCheckResp[PositiveResponse]
31.Delay[4000]ms;
32.Send DiagBy[Physical]Data[3E 00]AndCheckResp[PositiveResponse]
33.Delay[4000]ms;
34.Send DiagBy[Physical]Data[3E 00]AndCheckResp[PositiveResponse]
35.Delay[4000]ms;
36.Send DiagBy[Physical]Data[3E 00]AndCheckResp[PositiveResponse]
37.Send DiagBy[Physical]Data[27 01]AndCheckResp[PositiveResponse];</t>
    <phoneticPr fontId="4" type="noConversion"/>
  </si>
  <si>
    <t>1.5 Secure Access time Test</t>
    <phoneticPr fontId="4" type="noConversion"/>
  </si>
  <si>
    <t>1.6 ECU Reset Test</t>
    <phoneticPr fontId="4" type="noConversion"/>
  </si>
  <si>
    <t>1.General
2.DiagnosticServices</t>
    <phoneticPr fontId="4" type="noConversion"/>
  </si>
  <si>
    <t>ECU power reset Session returns to the DefaultSession PositiveResponseCase-$10</t>
  </si>
  <si>
    <t>ECU Hardware reset Session returns to the DefaultSession PositiveResponseCase-$10</t>
  </si>
  <si>
    <t>Based on analysis of requirements</t>
    <phoneticPr fontId="4" type="noConversion"/>
  </si>
  <si>
    <t>1.Power On</t>
    <phoneticPr fontId="4" type="noConversion"/>
  </si>
  <si>
    <t xml:space="preserve">
1.Send DiagBy[Physical]Data[10 03];
2.Send DiagBy[Physical]Data[27 01]AndCheckResp[PositiveResponse];
3.Send Security Wrong KeyBy[Physical]Level[0x2];
4.Send Security Right KeyBy[Physical]Level[0x2];
</t>
  </si>
  <si>
    <t>1.7 Incorrect Diagnostic Command Test</t>
    <phoneticPr fontId="4" type="noConversion"/>
  </si>
  <si>
    <t>Valid SF_DL=2, invalid SF_DL &gt; 2, and those with invalid equivalence class SF_DL=3  NegativeCase-$27</t>
    <phoneticPr fontId="4" type="noConversion"/>
  </si>
  <si>
    <t>boundary values</t>
    <phoneticPr fontId="4" type="noConversion"/>
  </si>
  <si>
    <t>1.Send DiagBy[Physical]Data[10 03];
2.Send DiagBy[Physical]Data[27 01]WithLen[3];</t>
  </si>
  <si>
    <t>Valid SF_DL=2, invalid SF_DL &lt; 2, and those with invalid equivalence class SF_DL=1 NegativeCase-$27</t>
    <phoneticPr fontId="4" type="noConversion"/>
  </si>
  <si>
    <t>boundary values</t>
    <phoneticPr fontId="4" type="noConversion"/>
  </si>
  <si>
    <t>1.Send DiagBy[Physical]Data[10 03];
2.Send DiagBy[Physical]Data[27 01]WithLen[1];</t>
  </si>
  <si>
    <t>1.9 NRC priority</t>
    <phoneticPr fontId="4" type="noConversion"/>
  </si>
  <si>
    <t>2.Application Service_Functional  Addressing</t>
    <phoneticPr fontId="4" type="noConversion"/>
  </si>
  <si>
    <t>0x27 service nonsupport function addressing NegativeCase-$27</t>
    <phoneticPr fontId="4" type="noConversion"/>
  </si>
  <si>
    <t xml:space="preserve">
1.Power On;
</t>
    <phoneticPr fontId="4" type="noConversion"/>
  </si>
  <si>
    <t>1.Send DiagBy[Function]Data[10 01];
2.Send DiagBy[Function]Data[27 01]AndCheckResp[NoResponse];
3.Send Security Right KeyBy[Function]Level[0x2];</t>
    <phoneticPr fontId="4" type="noConversion"/>
  </si>
  <si>
    <t>0x27 service nonsupport function addressing NegativeCase-$27</t>
    <phoneticPr fontId="4" type="noConversion"/>
  </si>
  <si>
    <t>1.Check No_Response Within[1000]ms;
3.Check No_Response Within[1000]ms;</t>
    <phoneticPr fontId="4" type="noConversion"/>
  </si>
  <si>
    <t>3.Boot Service_Physical Addressing</t>
    <phoneticPr fontId="4" type="noConversion"/>
  </si>
  <si>
    <t>3.1 Session Layer Test</t>
    <phoneticPr fontId="4" type="noConversion"/>
  </si>
  <si>
    <t>1.Application Service_Physical Addressing</t>
    <phoneticPr fontId="4" type="noConversion"/>
  </si>
  <si>
    <t>1.Send DiagBy[Physical]Data[10 01];
2.Delay[5000]ms;
3.Send DiagBy[Physical]Data[10 03];
4.Send DiagBy[Physical]Data[27 01]AndCheckResp[1];
5.Send Security Right KeyBy[Physical]Level[0x2];</t>
    <phoneticPr fontId="4" type="noConversion"/>
  </si>
  <si>
    <t>1.Send DiagBy[Physical]Data[10 01];
2.Send DiagBy[Physical]Data[10 03];
4.Send DiagBy[Physical]Data[10 02];
5.Send DiagBy[Physical]Data[27 01]AndCheckResp[PositiveResponse];</t>
    <phoneticPr fontId="4" type="noConversion"/>
  </si>
  <si>
    <t xml:space="preserve">
1.Send DiagBy[Physical]Data[10 01];
2.Send DiagBy[Physical]Data[10 03];
3.Send DiagBy[Physical]Data[27 02];
4.Send DiagBy[Physical]Data[2E F1 90 56 4E 53 5A 48 49 54 54 45 43 48 30 30 30 30 30 31];
</t>
    <phoneticPr fontId="4" type="noConversion"/>
  </si>
  <si>
    <t xml:space="preserve">
1.Send DiagBy[Physical]Data[10 01];
2.Send DiagBy[Physical]Data[10 03];
3.Send DiagBy[Physical]Data[27 81];
4.Send DiagBy[Physical]Data[27 83];
</t>
    <phoneticPr fontId="4" type="noConversion"/>
  </si>
  <si>
    <t xml:space="preserve">
1.Send DiagBy[Physical]Data[10 01];
2.Send DiagBy[Physical]Data[10 03];
3.Send DiagBy[Physical]Data[27 01]AndCheckResp[PositiveResponse];
4.Send DiagBy[Physical]Data[2E F1 90 56 4E 53 5A 48 49 54 54 45 43 48 30 30 30 30 30 31];
</t>
    <phoneticPr fontId="4" type="noConversion"/>
  </si>
  <si>
    <r>
      <t>1.Send DiagBy[Physical]Data[10 03];
4.Send DiagBy[Physical]Data[27 01]AndCheckResp[PositiveResponse];
5.Send DiagBy[Physical]Data[27 01]AndCheckResp[PositiveResponse];
6.Send DiagBy[Physical]Data[27 01]AndCheckResp[PositiveResponse];
7.Send DiagBy[Physical]Data[27 01]AndCheckResp[0x37];
8.Delay[3000]ms;
9.Send DiagBy[Physical]Data[3E 00]AndCheckResp[PositiveResponse]
10.Send DiagBy[Physical]Data[11 01];
11.Delay[5000]ms
12.Send DiagBy[Physical]Data[10 03];
13.Delay[2500]ms;
14.Send DiagBy[Physical]Data[3E 00]AndCheckResp[PositiveResponse]
15.Delay[2500]ms
16.Send DiagBy[Physical]Data[3E 00]AndCheckResp[PositiveResponse]
//</t>
    </r>
    <r>
      <rPr>
        <sz val="10"/>
        <color rgb="FF000000"/>
        <rFont val="宋体"/>
        <family val="3"/>
        <charset val="134"/>
      </rPr>
      <t>复位后回</t>
    </r>
    <r>
      <rPr>
        <sz val="10"/>
        <color rgb="FF000000"/>
        <rFont val="Times New Roman"/>
        <family val="1"/>
      </rPr>
      <t>67 01</t>
    </r>
    <r>
      <rPr>
        <sz val="10"/>
        <color rgb="FF000000"/>
        <rFont val="宋体"/>
        <family val="3"/>
        <charset val="134"/>
      </rPr>
      <t>，而不是</t>
    </r>
    <r>
      <rPr>
        <sz val="10"/>
        <color rgb="FF000000"/>
        <rFont val="Times New Roman"/>
        <family val="1"/>
      </rPr>
      <t xml:space="preserve">0x37
17.Send DiagBy[Physical]Data[27 01]AndCheckResp[PositiveResponse];
18.Delay[3000]ms;
19.Send DiagBy[Physical]Data[3E 00]AndCheckResp[PositiveResponse]
20.Delay[3000]ms
21.Send DiagBy[Physical]Data[3E 00]AndCheckResp[PositiveResponse]
22.Send DiagBy[Physical]Data[27 01]AndCheckResp[PositiveResponse];
</t>
    </r>
    <phoneticPr fontId="4" type="noConversion"/>
  </si>
  <si>
    <t xml:space="preserve">陈亚-80025578 </t>
  </si>
  <si>
    <t>1.Send DiagBy[Physical]Data[10 01];
2.Send DiagBy[Physical]Data[27 01]AndCheckResp[0x12];</t>
  </si>
  <si>
    <t>1.Send DiagBy[Physical]Data[10 03];
2.Send DiagBy[Physical]Data[27 01]AndCheckResp[0x12];</t>
  </si>
  <si>
    <t>1.Check DiagData[50 03 00  32 00 C8]Within[50]ms;
18.Check DiagData[67 02]Within[50]ms;
24.Check DiagData[50 03 00  32 00 C8]Within[50]ms;
26.Check DiagData[7F 27 35]Within[50]ms;
32.Check DiagData[7F 27 35]Within[50]ms;
34.Check DiagData[7F 27 36]Within[50]ms;</t>
  </si>
  <si>
    <t>1.Check DiagData[50 03 00  32 00 C8]Within[50]ms;
10.Check DiagData[51 01]Within[50]ms;
12.Check DiagData[50 03 00  32 00 C8]Within[50]ms;</t>
  </si>
  <si>
    <t>1.Check DiagData[50 03 00  32 00 C8]Within[50]ms;
13.Check DiagData[50 03 00  32 00 C8]Within[50]ms;</t>
  </si>
  <si>
    <t>1.Check DiagData[50 03 00  32 00 C8]Within[50]ms;
3.Check DiagData[67 02]Within[50]ms;</t>
  </si>
  <si>
    <t>1.Check DiagData[50 03 00  32 00 C8]Within[50]ms;
3.Check DiagData[7F 27 35]Within[50]ms;
4.Check DiagData[7F 27 24]Within[50]ms;</t>
  </si>
  <si>
    <t>1.Check DiagData[50 03 00  32 00 C8]Within[50]ms;
2.Check DiagData[7F 27 13]Within[50]ms;</t>
  </si>
  <si>
    <t>1.Check DiagData[50 03 00  32 00 C8]Within[50]ms;</t>
  </si>
  <si>
    <t>1.Check DiagData[50 01 00  32 00 C8]Within[50]ms;
2.Check No_Response Within[1000]ms;</t>
  </si>
  <si>
    <t>1.Check DiagData[50 01 00  32 00 C8]Within[50]ms;
2.Check DiagData[62 F6 C3 xx xx xx xx xx]Within[50]ms;</t>
  </si>
  <si>
    <t>1.Check DiagData[50 01 00  32 00 C8]Within[50]ms;
SV软件编码：
2.Check DiagData[62 F6 C4 00 54 00 13 2B 8F 00 00 00]Within[50]ms;</t>
  </si>
  <si>
    <t>1.Check DiagData[50 01 00  32 00 C8]Within[50]ms;
版本号：0.00.01
2.Check DiagData[62 F6 C5 00 00 00 00 00 00]Within[50]ms;</t>
  </si>
  <si>
    <t>1.Check DiagData[50 01 00  32 00 C8]Within[50]ms;
2.Check DiagData[62 F6 C0 xx xx xx xx xx xx xx xx xx]Within[50]ms;</t>
  </si>
  <si>
    <t>1.Check DiagData[50 01 00  32 00 C8]Within[50]ms;
2.Check No_ResponseWithin[1000]ms;</t>
  </si>
  <si>
    <t>1.Check DiagData[50 01 00  32 00 C8]Within[50]ms;
SV软件编码：
2.Check No_ResponseWithin[1000]ms;</t>
  </si>
  <si>
    <t>1.Check DiagData[50 01 00  32 00 C8]Within[50]ms;
版本号：0.00.01
2.Check No_ResponseWithin[1000]ms;</t>
  </si>
  <si>
    <t>1.Check DiagData[50 01 00  32 00 C8]Within[50]ms;
2.Check DiagData[7F 27 7F]Within[50]ms;</t>
  </si>
  <si>
    <t>1.Check DiagData[50 01 00  32 00 C8]Within[50]ms;
2.Check DiagData[7F 27 12]Within[50]ms;</t>
  </si>
  <si>
    <t>Send DiagBy[Physical]Data[10 01];
Check DiagData[50 01 00  32 00 C8]Within[50]ms;
Send DiagBy[Function]Data[27 01];</t>
  </si>
  <si>
    <t>1.Check DiagData[50 01 00  32 00 C8]Within[50]ms;
2.Check DiagData[7E 00]Within[50]ms;</t>
  </si>
  <si>
    <t>1.Check DiagData[50 01 00  32 00 C8]Within[50]ms;
2.No Check;
3.Check DiagData[50 03 00  32 00 C8]Within[50]ms;
5.Check DiagData[50 02 00  32 00 C8]Within[50]ms;
6.Check DiagData[7F 14 7F]Within[50]ms;</t>
  </si>
  <si>
    <t>1.Check DiagData[50 03 00  32 00 C8]Within[50]ms;
2.Check DiagData[54]Within[50]ms;</t>
  </si>
  <si>
    <t>1.Check DiagData[50 03 00  32 00 C8]Within[50]ms;
3.Check DiagData[67 02]Within[50]ms;
4.Check DiagData[54]Within[50]ms;</t>
  </si>
  <si>
    <t>1.Check DiagData[50 03 00  32 00 C8]Within[50]ms;
2.Check DiagData[59 02 09]Within[50]ms;
3.Check DiagData[54]Within[50]ms;
4.Check DiagData[59 02 09]Within[50]ms;</t>
  </si>
  <si>
    <t>1.Check DiagData[50 03 00  32 00 C8]Within[50]ms;
4.Check DiagData[59 02 FF XX XX XX 09]Within[50]ms;
5.Check DiagData[54]Within[50]ms;
6.Check DiagData[59 02 FF]Within[50]ms;</t>
  </si>
  <si>
    <t>1.Check DiagData[50 03 00  32 00 C8]Within[50]ms;
3.Check DiagData[59 02 FF XX XX XX 09 XX XX XX 09]Within[50]ms;
4.Check DiagData[54]Within[50]ms;
5.Check DiagData[59 02 FF]Within[50]ms;</t>
  </si>
  <si>
    <t>1.Check DiagData[50 03 00  32 00 C8]Within[50]ms;
6.Check DiagData[59 02 FF XX XX XX 08]Within[50]ms;
7.Check DiagData[54]Within[50]ms;
8.Check DiagData[59 02 FF]Within[50]ms;</t>
  </si>
  <si>
    <t>1.Check DiagData[50 03 00  32 00 C8]Within[50]ms;
3.Check DiagData[59 02 FF XX XX XX 08 XX XX XX 08]Within[50]ms;
4.Check DiagData[54]Within[50]ms;
5.Check DiagData[59 02 FF]Within[50]ms;</t>
  </si>
  <si>
    <t>1.Check DiagData[50 03 00  32 00 C8]Within[50]ms;
2.Check DiagData[7F 14 13]Within[50]ms;</t>
  </si>
  <si>
    <t>1.Check DiagData[50 01 00  32 00 C8]Within[50]ms;
2.No Check;
3.Check DiagData[50 03 00  32 00 C8]Within[50]ms;
5.Check DiagData[50 02 00  32 00 C8]Within[50]ms;
6.Check No_Response Within[1000]ms;</t>
  </si>
  <si>
    <t>1.Check DiagData[50 03 00  32 00 C8]Within[50]ms;
2.Check No_Response Within[1000]ms;</t>
  </si>
  <si>
    <t>1.Check DiagData[50 03 00  32 00 C8]Within[50]ms;
3.Check DiagData[67 02]Within[50]ms;
4.Check No_Response Within[1000]ms;</t>
  </si>
  <si>
    <t>1.Check DiagData[50 03 00  32 00 C8]Within[50]ms;
3.Check DiagData[67 04]Within[50]ms;
4.Check No_Response Within[1000]ms;</t>
  </si>
  <si>
    <t>1.Check DiagData[50 03 00  32 00 C8]Within[50]ms;
2.Check DiagData[59 02 FF]Within[50]ms;
3.Check No_Response Within[1000]ms;
4.Check DiagData[59 02 FF]Within[50]ms;</t>
  </si>
  <si>
    <t>1.Check DiagData[50 03 00  32 00 C8]Within[50]ms;
4.Check DiagData[59 02 FF XX XX XX 09]Within[50]ms;
5.Check No_Response Within[1000]ms;
6.Check DiagData[59 02 FF]Within[50]ms;</t>
  </si>
  <si>
    <t>1.Check DiagData[50 03 00  32 00 C8]Within[50]ms;
3.Check DiagData[59 02 FF XX XX XX 09 XX XX XX 09]Within[50]ms;
4.Check No_Response Within[1000]ms;
5.Check DiagData[59 02 FF]Within[50]ms;</t>
  </si>
  <si>
    <t>1.Check DiagData[50 03 00  32 00 C8]Within[50]ms;
6.Check DiagData[59 02 FF XX XX XX 08]Within[50]ms;
7.Check No_Response Within[1000]ms;
8.Check DiagData[59 02 FF]Within[50]ms;</t>
  </si>
  <si>
    <t>1.Check DiagData[50 03 00  32 00 C8]Within[50]ms;
3.Check DiagData[59 02 FF XX XX XX 08 XX XX XX 08]Within[50]ms;
4.Check No_Response Within[1000]ms;
5.Check DiagData[59 02 FF]Within[50]ms;</t>
  </si>
  <si>
    <t>1.Check DiagData[50 01 00  32 00 C8]Within[50]ms;
2.No Check;
3.Check DiagData[50 03 00  32 00 C8]Within[50]ms;
5.Check DiagData[50 02 00  32 00 C8]Within[50]ms;
6.Check DiagData[50 01 00  32 00 C8]Within[50]ms;
7.Check DiagData[7F 14 11]Within[50]ms;</t>
  </si>
  <si>
    <t>1.Check DiagData[50 01 00  32 00 C8]Within[50]ms;
2.No Check;
3.Check DiagData[50 03 00  32 00 C8]Within[50]ms;
5.Check DiagData[50 02 00  32 00 C8]Within[50]ms;
6.Check DiagData[7F 14 11]Within[50]ms;</t>
  </si>
  <si>
    <t>1.Check DiagData[50 01 00  32 00 C8]Within[50]ms;
2.No Check;
3.Check DiagData[50 03 00  32 00 C8]Within[50]ms;
5.Check DiagData[50 02 00  32 00 C8]Within[50]ms;
6.Check DiagData[50 03 00  32 00 C8]Within[50]ms;
7.Check DiagData[7F 14 11]Within[50]ms;</t>
  </si>
  <si>
    <t>1.Check DiagData[50 01 00  32 00 C8]Within[50]ms;
2.No Check;
3.Check DiagData[50 03 00  32 00 C8]Within[50]ms;
5.Check DiagData[50 02 00  32 00 C8]Within[50]ms;
6.Check DiagData[50 01 00  32 00 C8]Within[50]ms;
7.Check No_Response Within[1000]ms;</t>
  </si>
  <si>
    <t>1.Check DiagData[50 01 00  32 00 C8]Within[50]ms;
2.No Check;
3.Check DiagData[50 03 00  32 00 C8]Within[50]ms;
4.Check DiagData[71 01 02 03 00]Within[50]ms;
5.Check DiagData[50 02 00  32 00 C8]Within[50]ms;
6.Check No_Response Within[1000]ms;</t>
  </si>
  <si>
    <t>1.Check DiagData[50 01 00  32 00 C8]Within[50]ms;
2.No Check;
3.Check DiagData[50 03 00  32 00 C8]Within[50]ms;
5.Check DiagData[50 02 00  32 00 C8]Within[50]ms;
6.Check DiagData[50 03 00  32 00 C8]Within[50]ms;
7.Check No_Response Within[1000]ms;</t>
  </si>
  <si>
    <t>1.Check DiagData[50 03 00  32 00 C8]Within[50]ms;
2.Check DiagData[62 F6 C3 xx xx xx xx xx]Within[50]ms;</t>
  </si>
  <si>
    <t>1.Check DiagData[50 03 00  32 00 C8]Within[50]ms;
SV软件编码：
2.Check DiagData[62 F6 C4 00 54 00 13 2B 8F 00 00 00]Within[50]ms;</t>
  </si>
  <si>
    <t>1.Check DiagData[50 03 00  32 00 C8]Within[50]ms;
版本号：0.00.01
2.Check DiagData[62 F6 C5 00 00 00 00 00 00]Within[50]ms;</t>
  </si>
  <si>
    <t>1.Check DiagData[50 03 00  32 00 C8]Within[50]ms;
2.Check DiagData[62 F6 C0 xx xx xx xx xx xx xx xx xx]Within[50]ms;</t>
  </si>
  <si>
    <t>1.Check DiagData[50 03 00  32 00 C8]Within[50]ms;
2.Check DiagData[50 02 00  32 00 C8]Within[50]ms;
3.Check DiagData[62 F6 C3 xx xx xx xx xx]Within[50]ms;</t>
  </si>
  <si>
    <t>1.Check DiagData[50 03 00  32 00 C8]Within[50]ms;
2.Check DiagData[50 02 00  32 00 C8]Within[50]ms;
SV软件编码：
3.Check DiagData[62 F6 C4 00 54 00 13 2B 8F 00 00 00]Within[50]ms;</t>
  </si>
  <si>
    <t>1.Check DiagData[50 03 00  32 00 C8]Within[50]ms;
2.Check DiagData[50 02 00  32 00 C8]Within[50]ms;
版本号：0.00.01
3.Check DiagData[62 F6 C5 00 00 00 00 00 00]Within[50]ms;</t>
  </si>
  <si>
    <t>1.Check DiagData[50 03 00  32 00 C8]Within[50]ms;
2.Check DiagData[50 02 00  32 00 C8]Within[50]ms;
3.Check DiagData[62 F6 C0 xx xx xx xx xx xx xx xx xx]Within[50]ms;</t>
  </si>
  <si>
    <t>1.Check DiagData[50 03 00  32 00 C8]Within[50]ms;
2.Check No_ResponseWithin[1000]ms;</t>
  </si>
  <si>
    <t>1.Check DiagData[50 03 00  32 00 C8]Within[50]ms;
SV软件编码：
2.Check No_ResponseWithin[1000]ms;</t>
  </si>
  <si>
    <t>1.Check DiagData[50 03 00  32 00 C8]Within[50]ms;
版本号：0.00.01
2.Check No_ResponseWithin[1000]ms;</t>
  </si>
  <si>
    <t>1.Check DiagData[50 03 00  32 00 C8]Within[50]ms;
2.Check DiagData[50 02 00  32 00 C8]Within[50]ms;
3.Check No_ResponseWithin[1000]ms;</t>
  </si>
  <si>
    <t>1.Check DiagData[50 03 00  32 00 C8]Within[50]ms;
2.Check DiagData[50 02 00  32 00 C8]Within[50]ms;
SV软件编码：
3.Check No_ResponseWithin[1000]ms;</t>
  </si>
  <si>
    <t>1.Check DiagData[50 03 00  32 00 C8]Within[50]ms;
2.Check DiagData[50 02 00  32 00 C8]Within[50]ms;
版本号：0.00.01
3.Check No_ResponseWithin[1000]ms;</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</si>
  <si>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</si>
  <si>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03]AndCheckResp[PositiveResponse];
Send Security Right KeyBy[Physical]Level[04];</t>
  </si>
  <si>
    <t>Send DiagBy[Physical]Data[10 03];
Check DiagData[50 03 00  32 00 C8]Within[50]ms;
Send DiagBy[Physical]Data[27 01]AndCheckResp[PositiveResponse];
Send Security Right KeyBy[Physical]Level[02];</t>
  </si>
  <si>
    <t>Send DiagBy[Physical]Data[10 03];
Check DiagData[50 03 00  32 00 C8]Within[50]ms;
Send DiagBy[Physical]Data[27 03]AndCheckResp[PositiveResponse];
Send Security Right KeyBy[Physical]Level[04];</t>
  </si>
  <si>
    <t>Send DiagBy[Physical]Data[10 03];
Check DiagData[50 03 00  32 00 C8]Within[50]ms;
Send DiagBy[Physical]Data[27 01];</t>
  </si>
  <si>
    <t>Send DiagBy[Physical]Data[10 03];
Check DiagData[50 03 00  32 00 C8]Within[50]ms;
Send DiagBy[Physical]Data[27 02 FF FF FF FF];</t>
  </si>
  <si>
    <t>Send DiagBy[Physical]Data[10 03];
Check DiagData[50 03 00  32 00 C8]Within[50]ms;
Send DiagBy[Physical]Data[27 02 FF FF FF FF];
Check DiagData[7F 27 24]Within[50]ms;
Send DiagBy[Physical]Data[27 01];</t>
  </si>
  <si>
    <t>Send DiagBy[Physical]Data[10 03];
Check DiagData[50 03 00  32 00 C8]Within[50]ms;
Send DiagBy[Physical]Data[27 04 FF FF FF FF];
Check DiagData[7F 27 24]Within[50]ms;
Send DiagBy[Physical]Data[27 01];</t>
  </si>
  <si>
    <t>Send DiagBy[Physical]Data[10 03];
Check DiagData[50 03 00  32 00 C8]Within[50]ms;
Send DiagBy[Physical]Data[27 01]AndCheckResp[PositiveResponse];
Send DiagBy[Physical]Data[27 01]AndCheckResp[PositiveResponse];</t>
  </si>
  <si>
    <t>Send DiagBy[Physical]Data[10 03];
Check DiagData[50 03 00  32 00 C8]Within[50]ms;
Send DiagBy[Physical]Data[27 01]AndCheckResp[PositiveResponse];
Send Security Right KeyBy[Physical]Level[02];
Check DiagData[67 02]Within[50]ms;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</si>
  <si>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</si>
  <si>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Delay[10000]ms;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</si>
  <si>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Delay[5000]ms;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</si>
  <si>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Right KeyBy[Physical]Level[02];
Check DiagData[67 02]Within[50]ms;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</si>
  <si>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Set Voltage[0]V;
Delay[1000]ms;
Set Voltage[12]V;
Delay[1000]ms;
Send DiagBy[Physical]Data[10 03];
Check DiagData[50 03 00  32 00 C8]Within[50]ms;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</si>
  <si>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DiagBy[Physical]Data[11 01];
Check DiagData[51 01]Within[50]ms;
Delay[2000]ms;
Send DiagBy[Physical]Data[10 03];
Check DiagData[50 03 00  32 00 C8]Within[50]ms;
Delay[10000]ms;
Send DiagBy[Physical]Data[27 01];</t>
  </si>
  <si>
    <t>Send DiagBy[Physical]Data[10 03];
Check DiagData[50 03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DiagBy[Physical]Data[27 01];
Check DiagData[7F 27 37]Within[50]ms;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</si>
  <si>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</si>
  <si>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Delay[10000]ms;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</si>
  <si>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Delay[5000]ms;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</si>
  <si>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01]AndCheckResp[PositiveResponse];
Send Security Right KeyBy[Physical]Level[02];
Check DiagData[67 02]Within[50]ms;
Send DiagBy[Physical]Data[27 01];
Check DiagData[67 01 00 00 00 00]Within[50]ms;
Send DiagBy[Physical]Data[27 01];
Check DiagData[67 01 00 00 00 00]Within[50]ms;
Send DiagBy[Physical]Data[27 01];
Check DiagData[67 01 00 00 00 00]Within[50]ms;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</si>
  <si>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Set Voltage[0]V;
Delay[1000]ms;
Set Voltage[12]V;
Delay[1000]ms;
Send DiagBy[Physical]Data[10 03];
Check DiagData[50 03 00  32 00 C8]Within[50]ms;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</si>
  <si>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Send DiagBy[Physical]Data[11 01];
Check DiagData[51 01]Within[50]ms;
Delay[2000]ms;
Send DiagBy[Physical]Data[10 03];
Check DiagData[50 03 00  32 00 C8]Within[50]ms;
Delay[10000]ms;
Send DiagBy[Physical]Data[27 01];</t>
  </si>
  <si>
    <t>Send DiagBy[Physical]Data[10 03];
Check DiagData[50 03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Send DiagBy[Physical]Data[27 01];
Check DiagData[7F 27 37]Within[50]ms;
Send DiagBy[Physical]Data[27 01];</t>
  </si>
  <si>
    <t>Send DiagBy[Physical]Data[10 03];
Check DiagData[50 03 00  32 00 C8]Within[50]ms;
Send DiagBy[Physical]Data[27 01]AndCheckResp[PositiveResponse];
Send Security Right KeyBy[Physical]Level[02];
Check DiagData[67 02]Within[50]ms;
Delay[4900]ms;
Send DiagBy[Physical]Data[3E 00];
Check DiagData[7E 00]Within[50]ms;
Delay[4900]ms;
Send DiagBy[Physical]Data[27 01];</t>
  </si>
  <si>
    <t>Send DiagBy[Physical]Data[10 03];
Check DiagData[50 03 00  32 00 C8]Within[50]ms;
Send DiagBy[Physical]Data[27 01]AndCheckResp[PositiveResponse];
Send Security Right KeyBy[Physical]Level[02];
Check DiagData[67 02]Within[50]ms;
Set Voltage[0]V;
Delay[1000]ms;
Set Voltage[12]V;
Delay[1000]ms;
Send DiagBy[Physical]Data[10 03];
Check DiagData[50 03 00  32 00 C8]Within[50]ms;
Send DiagBy[Physical]Data[27 01];</t>
  </si>
  <si>
    <t>Send DiagBy[Physical]Data[10 03];
Check DiagData[50 03 00  32 00 C8]Within[50]ms;
Send DiagBy[Physical]Data[27 01]AndCheckResp[PositiveResponse];
Send Security Right KeyBy[Physical]Level[02];
Check DiagData[67 02]Within[50]ms;
Send DiagBy[Physical]Data[11 01];
Check DiagData[51 01]Within[50]ms;
Delay[2000]ms;
Send DiagBy[Physical]Data[10 03];
Check DiagData[50 03 00  32 00 C8]Within[50]ms;
Send DiagBy[Physical]Data[27 01];</t>
  </si>
  <si>
    <t>Send DiagBy[Physical]Data[10 03];
Check DiagData[50 03 00  32 00 C8]Within[50]ms;
Send DiagBy[Physical]Data[27 01]AndCheckResp[PositiveResponse];
Send Security Right KeyBy[Physical]Level[02];
Check DiagData[67 02]Within[50]ms;
Send DiagBy[Physical]Data[10 01];
Check DiagData[50 01 00  32 00 C8]Within[50]ms;
Send DiagBy[Physical]Data[10 03];
Check DiagData[50 03 00  32 00 C8]Within[50]ms;
Send DiagBy[Physical]Data[27 01];</t>
  </si>
  <si>
    <t>Send DiagBy[Physical]Data[10 03];
Check DiagData[50 03 00  32 00 C8]Within[50]ms;
Send DiagBy[Physical]Data[11 01];
Check DiagData[51 01]Within[50]ms;
Delay[2000]ms;
Send DiagBy[Physical]Data[10 03];
Check DiagData[50 03 00  32 00 C8]Within[50]ms;
Send DiagBy[Physical]Data[27 01];</t>
  </si>
  <si>
    <t>Send DiagBy[Physical]Data[10 03];
Check DiagData[50 03 00  32 00 C8]Within[50]ms;
Send DiagBy[Physical]Data[27 81];
Check DiagData[7F 27 12]Within[50]ms;
Send DiagBy[Physical]Data[27 82];</t>
  </si>
  <si>
    <t>Send DiagBy[Physical]Data[10 03];
Check DiagData[50 03 00  32 00 C8]Within[50]ms;
Send DiagBy[Physical]Data[27 01 00]WithLen[3];</t>
  </si>
  <si>
    <t>Send DiagBy[Physical]Data[10 03];
Check DiagData[50 03 00  32 00 C8]Within[50]ms;
Send DiagBy[Physical]Data[27]WithLen[1];</t>
  </si>
  <si>
    <t>Send DiagBy[Physical]Data[10 03];
Check DiagData[50 03 00  32 00 C8]Within[50]ms;
Send DiagBy[Function]Data[27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</si>
  <si>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01];
Check DiagData[50 01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</si>
  <si>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01];
Check DiagData[50 01 00  32 00 C8]Within[50]ms;
Send DiagBy[Physical]Data[27 03];</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</si>
  <si>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03];
Check DiagData[50 03 00  32 00 C8]Within[50]ms;
Send DiagBy[Physical]Data[27 01]AndCheckResp[PositiveResponse];
Send Security Right KeyBy[Physical]Level[02];</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</si>
  <si>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03];
Check DiagData[50 03 00  32 00 C8]Within[50]ms;
Send DiagBy[Physical]Data[27 03]AndCheckResp[PositiveResponse];
Send Security Right KeyBy[Physical]Level[04];</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</si>
  <si>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</si>
  <si>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02 FF FF FF FF];</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</si>
  <si>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02 FF FF FF FF];
Check DiagData[7F 27 24]Within[50]ms;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</si>
  <si>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04 FF FF FF FF];
Check DiagData[7F 27 24]Within[50]ms;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</si>
  <si>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DiagBy[Physical]Data[27 01]AndCheckResp[PositiveResponse];</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</si>
  <si>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
Check DiagData[67 02]Within[50]ms;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</si>
  <si>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</si>
  <si>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Delay[10000]ms;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</si>
  <si>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Delay[5000]ms;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</si>
  <si>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Right KeyBy[Physical]Level[02];
Check DiagData[67 02]Within[50]ms;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</si>
  <si>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Set Voltage[0]V;
Delay[1000]ms;
Set Voltage[12]V;
Delay[1000]ms;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</si>
  <si>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DiagBy[Physical]Data[11 01];
Check DiagData[51 01]Within[50]ms;
Delay[2000]ms;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Delay[10000]ms;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</si>
  <si>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Wrong KeyBy[Physical]Level[02];
Check DiagData[7F 27 35]Within[50]ms;
Send DiagBy[Physical]Data[27 01]AndCheckResp[PositiveResponse];
Send Security Wrong KeyBy[Physical]Level[02];
Check DiagData[7F 27 35]Within[50]ms;
Send DiagBy[Physical]Data[27 01]AndCheckResp[PositiveResponse];
Send Security Wrong KeyBy[Physical]Level[02];
Check DiagData[7F 27 36]Within[50]ms;
Send DiagBy[Physical]Data[27 01];
Check DiagData[7F 27 37]Within[50]ms;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</si>
  <si>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</si>
  <si>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Delay[10000]ms;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</si>
  <si>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Delay[5000]ms;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</si>
  <si>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01]AndCheckResp[PositiveResponse];
Send Security Right KeyBy[Physical]Level[02];
Check DiagData[67 02]Within[50]ms;
Send DiagBy[Physical]Data[27 01];
Check DiagData[67 01 00 00 00 00]Within[50]ms;
Send DiagBy[Physical]Data[27 01];
Check DiagData[67 01 00 00 00 00]Within[50]ms;
Send DiagBy[Physical]Data[27 01];
Check DiagData[67 01 00 00 00 00]Within[50]ms;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</si>
  <si>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Set Voltage[0]V;
Delay[1000]ms;
Set Voltage[12]V;
Delay[1000]ms;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</si>
  <si>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Send DiagBy[Physical]Data[11 01];
Check DiagData[51 01]Within[50]ms;
Delay[2000]ms;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Delay[10000]ms;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</si>
  <si>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Check DiagData[67 01 XX XX XX XX]Within[50]ms;
Send DiagBy[Physical]Data[27 01];
Check DiagData[67 01 XX XX XX XX]Within[50]ms;
Send DiagBy[Physical]Data[27 01];
Check DiagData[67 01 XX XX XX XX]Within[50]ms;
Send DiagBy[Physical]Data[27 01];
Check DiagData[7F 27 36]Within[50]ms;
Send DiagBy[Physical]Data[27 01];
Check DiagData[7F 27 37]Within[50]ms;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</si>
  <si>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
Check DiagData[67 02]Within[50]ms;
Delay[4900]ms;
Send DiagBy[Physical]Data[3E 00];
Check DiagData[7E 00]Within[50]ms;
Delay[4900]ms;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</si>
  <si>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
Check DiagData[67 02]Within[50]ms;
Set Voltage[0]V;
Delay[1000]ms;
Set Voltage[12]V;
Delay[1000]ms;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</si>
  <si>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
Check DiagData[67 02]Within[50]ms;
Send DiagBy[Physical]Data[11 01];
Check DiagData[51 01]Within[50]ms;
Delay[2000]ms;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</si>
  <si>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
Check DiagData[67 02]Within[50]ms;
Send DiagBy[Physical]Data[10 01];
Check DiagData[50 01 00  32 00 C8]Within[50]ms;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</si>
  <si>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DiagBy[Physical]Data[11 01];
Check DiagData[51 01]Within[50]ms;
Delay[2000]ms;
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</si>
  <si>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81];
Check DiagData[7F 27 12]Within[50]ms;
Send DiagBy[Physical]Data[27 82];</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</si>
  <si>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 00]WithLen[3];</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</si>
  <si>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DiagBy[Physical]Data[27]WithLen[1];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</si>
  <si>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01];
Check DiagData[50 01 00  32 00 C8]Within[50]ms;
Send DiagBy[Function]Data[27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</si>
  <si>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DiagBy[Function]Data[27 01];</t>
  </si>
  <si>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DiagBy[Physical]Data[10 03];
Check DiagData[50 03 00  32 00 C8]Within[50]ms;
Send DiagBy[Function]Data[27 01];</t>
  </si>
  <si>
    <t>1.Check DiagData[50 03 00  32 00 C8]Within[50]ms;
2.Check DiagData[7E 00]Within[50]ms;</t>
  </si>
  <si>
    <t>1.Check DiagData[50 03 00  32 00 C8]Within[50]ms;
3.Check DiagData[50 02 00  32 00 C8]Within[50]ms;
4.Check DiagData[7E 00]Within[50]ms;</t>
  </si>
  <si>
    <t>1.Check DiagData[50 03 00  32 00 C8]Within[50]ms;
3.Check DiagData[50 02 00  32 00 C8]Within[50]ms;
4.Check No_Response Within[1000]ms;</t>
  </si>
  <si>
    <t>1.Check DiagData[50 03 00  32 00 C8]Within[50]ms;
3.Check DiagData[67 02]Within[50]ms;
5.Check DiagData[7E 00]Within[50]ms;</t>
  </si>
  <si>
    <t>1.Check DiagData[50 03 00  32 00 C8]Within[50]ms;
3.Check DiagData[67 02]Within[50]ms;
5.Check No_Response Within[50]ms;</t>
  </si>
  <si>
    <t>1.Check DiagData[50 03 00  32 00 C8]Within[50]ms;
3.Check DiagData[67 02]Within[50]ms;
5.Check No_Response Within[1000]ms;</t>
  </si>
  <si>
    <t>1.Check DiagData[50 03 00  32 00 C8]Within[50]ms;
3.Check DiagData[7E 00]Within[50]ms;</t>
  </si>
  <si>
    <t>1.Check DiagData[50 03 00  32 00 C8]Within[50]ms;
3.Check No_Response Within[50]ms;</t>
  </si>
  <si>
    <t>1.Check DiagData[50 03 00  32 00 C8]Within[50]ms;
3.Check No_Response Within[1000]ms;</t>
  </si>
  <si>
    <t>1.Check DiagData[50 03 00  32 00 C8]Within[50]ms;
3.Check DiagData[7E 00]Within[50]ms;
5.Check DiagData[51 01]Within[50]ms;</t>
  </si>
  <si>
    <t>1.Check DiagData[50 03 00  32 00 C8]Within[50]ms;
3.Check DiagData[7E 00]Within[50]ms;
5.Check DiagData[50 01 00  32 00 C8]Within[50]ms;</t>
  </si>
  <si>
    <t>1.Check DiagData[50 03 00  32 00 C8]Within[50]ms;
3.Check No_Response Within[1000]ms;
5.Check DiagData[51 01]Within[50]ms;</t>
  </si>
  <si>
    <t>1.Check DiagData[50 03 00  32 00 C8]Within[50]ms;
3.Check No_Response Within[1000]ms;
5.Check DiagData[50 01 00  32 00 C8]Within[50]ms;</t>
  </si>
  <si>
    <t>1.Check DiagData[50 03 00  32 00 C8]Within[50]ms;
2.Check DiagData[51 01]Within[50]ms;</t>
  </si>
  <si>
    <t>1.Check DiagData[50 03 00  32 00 C8]Within[50]ms;
2.Check DiagData[7F 11 12]Within[50]ms;</t>
  </si>
  <si>
    <t>1.Check DiagData[50 03 00  32 00 C8]Within[50]ms;
3.Check DiagData[67 02]Within[50]ms;
4.Check DiagData[51 01]Within[50]ms;</t>
  </si>
  <si>
    <t xml:space="preserve">1.Check DiagData[50 03 00  32 00 C8]Within[50]ms;
2.Check DiagData[51 01]Within[50]ms;
</t>
  </si>
  <si>
    <t>1.Check DiagData[50 03 00  32 00 C8]Within[50]ms;
3.Check DiagData[67 02]Within[50]ms;
4.Check DiagData[51 01]Within[50]ms;
7.Check DiagData[7F 27 7F]Within[50]ms;</t>
  </si>
  <si>
    <t>1.Check DiagData[50 03 00  32 00 C8]Within[50]ms;
2.Check DiagData[68 01]Within[50]ms;
  Check MsgInexist[0x21F];
3.Check DiagData[51 01]Within[50]ms;
  Check MsgExist[0x21F];</t>
  </si>
  <si>
    <t>1.Check DiagData[50 03 00  32 00 C8]Within[50]ms;
3.Check DiagData[67 02]Within[50]ms;
5.Check DiagData[7F 11 22]Within[50]ms;</t>
  </si>
  <si>
    <t>1.Check DiagData[50 03 00  32 00 C8]Within[50]ms;
4.Check DiagData[7F 11 22]Within[50]ms;</t>
  </si>
  <si>
    <t>1.Check DiagData[50 03 00  32 00 C8]Within[50]ms;
2.Check DiagData[7F 3E 13]Within[50]ms;</t>
  </si>
  <si>
    <t>1.Check DiagData[50 03 00  32 00 C8]Within[50]ms;
2.Check DiagData[C5 01]Within[50]ms;</t>
  </si>
  <si>
    <t>1.Check DiagData[50 03 00  32 00 C8]Within[50]ms;
2.Check DiagData[C5 02]Within[50]ms;</t>
  </si>
  <si>
    <t>1.Check DiagData[50 03 00  32 00 C8]Within[50]ms;
3.Check DiagData[67 02]Within[50]ms;
4.Check DiagData[C5 01]Within[50]ms;</t>
  </si>
  <si>
    <t>1.Check DiagData[50 03 00  32 00 C8]Within[50]ms;
3.Check DiagData[67 02]Within[50]ms;
4.Check DiagData[C5 02]Within[50]ms;</t>
  </si>
  <si>
    <t>1.Check DiagData[50 03 00  32 00 C8]Within[50]ms;
//2.Check DiagData[7F 85 12]Within[50]ms;</t>
  </si>
  <si>
    <t>1.Check DiagData[50 03 00  32 00 C8]Within[50]ms;
2.Check DiagData[7F 85 13]Within[50]ms;</t>
  </si>
  <si>
    <t>1.Check DiagData[50 03 00  32 00 C8]Within[50]ms;
2.Check DiagData[7F 85 12]Within[50]ms;</t>
  </si>
  <si>
    <t>1.Check DiagData[50 01 00  32 00 C8]Within[50]ms;
2.Check DiagData[7F 11 7F]Within[50]ms;</t>
  </si>
  <si>
    <t>1.Check DiagData[50 01 00  32 00 C8]Within[50]ms;
2.Check DiagData[7F 11 12]Within[50]ms;</t>
  </si>
  <si>
    <t>1.Check DiagData[50 01 00  32 00 C8]Within[50]ms;</t>
  </si>
  <si>
    <t>1.Check DiagData[50 01 00  32 00 C8]Within[50]ms;
2.Check DiagData[7F 11 13]Within[50]ms;</t>
  </si>
  <si>
    <t>1.Check DiagData[50 01 00  32 00 C8]Within[50]ms;
3.Check DiagData[67 02]Within[50]ms;
4.Check DiagData[7F 11 33]Within[50]ms;</t>
  </si>
  <si>
    <t>1.Check DiagData[50 01 00  32 00 C8]Within[50]ms;
2.Check DiagData[7F 85 7F]Within[50]ms;</t>
  </si>
  <si>
    <t>1.Check DiagData[50 01 00  32 00 C8]Within[50]ms;
3.Check DiagData[50 03 00  32 00 C8]Within[50]ms;
5.Check DiagData[50 02 00  32 00 C8]Within[50]ms;
6.Check DiagData[51 01]Within[50]ms;</t>
  </si>
  <si>
    <t>1.Check DiagData[50 01 00  32 00 C8]Within[50]ms;
3.Check DiagData[50 03 00  32 00 C8]Within[50]ms;
5.Check DiagData[50 02 00  32 00 C8]Within[50]ms;
6.Check DiagData[7F 11 12]Within[50]ms;</t>
  </si>
  <si>
    <t>1.Check DiagData[50 01 00  32 00 C8]Within[50]ms;
3.Check DiagData[50 03 00  32 00 C8]Within[50]ms;
5.Check DiagData[50 02 00  32 00 C8]Within[50]ms;</t>
  </si>
  <si>
    <t>1.Check DiagData[50 03 00  32 00 C8]Within[50]ms;
3.Check DiagData[50 02 00  32 00 C8]Within[50]ms;
4.Check DiagData[C5 01]Within[50]ms;</t>
  </si>
  <si>
    <t>1.Check DiagData[50 03 00  32 00 C8]Within[50]ms;
3.Check DiagData[50 02 00  32 00 C8]Within[50]ms;
4.Check DiagData[C5 02]Within[50]ms;</t>
  </si>
  <si>
    <t>1.Check DiagData[50 03 00  32 00 C8]Within[50]ms;
3.Check DiagData[50 02 00  32 00 C8]Within[50]ms;
4.Check No_ResponseWithin[1000]ms;</t>
  </si>
  <si>
    <t>1.Check DiagData[50 02 00  32 00 C8]Within[50]ms;
3.Check DiagData[67 02]Within[50]ms;
4.Check No_Response Within[1000]ms;</t>
  </si>
  <si>
    <t>1.Check DiagData[50 03 00  32 00 C8]Within[50]ms;
3.Check DiagData[50 02 00  32 00 C8]Within[50]ms;</t>
  </si>
  <si>
    <t>1.Check DiagData[50 03 00  32 00 C8]Within[50]ms;
2.Check DiagData[71 01 02 03 00]Within[50]ms;
3.Check DiagData[50 02 00  32 00 C8]Within[50]ms;
4.Check No_Response Within[1000]ms;</t>
  </si>
  <si>
    <t>Step 1: Send DiagBy[Physical]Data[10 01];
Step 2: Check DiagData[50 01 00  32 00 C8]Within[50]ms;
Step 3: Send DiagBy[Physical]Data[31 01 DF FE];
Step 4: Check DiagData[7F 31 7F]Within[50]ms;</t>
  </si>
  <si>
    <t>Step 1: Send DiagBy[Physical]Data[10 03];
Step 2: Check DiagData[50 03 00  32 00 C8]Within[50]ms;
Step 3: Send DiagBy[Physical]Data[31 01 DF FE];
Step 4: Check DiagData[7F 31 31]Within[50]ms;</t>
  </si>
  <si>
    <t>Step 1: Send DiagBy[Physical]Data[10 03];
Step 2: Check DiagData[50 03 00  32 00 C8]Within[50]ms;
Step 3: Send DiagBy[Physical]Data[31 01 DF FF];
Step 4: Check DiagData[7F 31 31]Within[50]ms;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</si>
  <si>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01 DF FE 00 00 00 00 00];
Step 14: Check DiagData[71 01 DF FE]Within[50]ms;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</si>
  <si>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03 DF FE];
Step 14: Check DiagData[71 03 DF FE]Within[50]ms;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</si>
  <si>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01 DF FF 44 00 00 00 00 00 00 00 00];
Step 14: Check DiagData[71 01 DF FF]Within[50]ms;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</si>
  <si>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03 DF FF];
Step 14: Check DiagData[71 03 DF FF]Within[50]ms;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</si>
  <si>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02 DF FE];
Step 14: Check DiagData[7F 31 12]Within[50]ms;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</si>
  <si>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02 DF FF];
Step 14: Check DiagData[7F 31 12]Within[50]ms;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</si>
  <si>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DiagBy[Physical]Data[31 01 DF FE 00 00 00 00 00];
Step 11: Check DiagData[7F 31 33]Within[50]ms;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</si>
  <si>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DiagBy[Physical]Data[31 01 DF FF 44 00 00 00 00 00 00 00 00];
Step 11: Check DiagData[7F 31 33]Within[50]ms;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</si>
  <si>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Voltage[8.5]V;
Step 14: Delay[1000]ms;
Step 15: Send DiagBy[Physical]Data[31 01 DF FE 00 00 00 00 00];
Step 16: Check DiagData[7F 31 22]Within[50]ms;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</si>
  <si>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Voltage[12]V;
Step 14: Delay[1000]ms;
Step 15: Send DiagBy[Physical]Data[31 01 DF FE 00 00 00 00 00];
Step 16: Check DiagData[71 01 DF FE]Within[50]ms;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</si>
  <si>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Voltage[8.5]V;
Step 14: Delay[1000]ms;
Step 15: Send DiagBy[Physical]Data[31 01 DF FF 44 00 00 00 00 00 00 00 00];
Step 16: Check DiagData[7F 31 22]Within[50]ms;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</si>
  <si>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Voltage[12]V;
Step 14: Delay[1000]ms;
Step 15: Send DiagBy[Physical]Data[31 01 DF FF 44 00 00 00 00 00 00 00 00];
Step 16: Check DiagData[71 01 DF FF]Within[50]ms;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</si>
  <si>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Voltage[16.5]V;
Step 14: Delay[1000]ms;
Step 15: Send DiagBy[Physical]Data[31 01 DF FE 00 00 00 00 00];
Step 16: Check DiagData[7F 31 22]Within[50]ms;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</si>
  <si>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Set Voltage[16.5]V;
Step 14: Delay[1000]ms;
Step 15: Send DiagBy[Physical]Data[31 01 DF FF 44 00 00 00 00 00 00 00 00];
Step 16: Check DiagData[7F 31 22]Within[50]ms;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</si>
  <si>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SubTraversalBy[Physical]Service[0x31]Excluding[01,03,81,83]AndCheckResp[0x12];</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</si>
  <si>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DIDTraversalBy[Physical]Service[0x31]Excluding[DFFE,DFFF]AndCheckResp[0x31];</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</si>
  <si>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Msg[ReqCANID]Data[04 31 01 DF FE]WithDLC[7];
Step 14: Check No_Response Within[1000]ms;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</si>
  <si>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Msg[ReqCANID]Data[09 31 01 DF FE 00 00 00 00 00]WithDLC[9];
Step 14: Check DiagData[71 01 DF FE]Within[50]ms;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</si>
  <si>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01 DF FE 00 00 00 00 00 00]WithLen[10];
Step 14: Check DiagData[7F 31 13]Within[50]ms;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</si>
  <si>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DiagBy[Physical]Data[31 01 DF FE 00 00 00 00]WithLen[8];
Step 14: Check DiagData[7F 31 13]Within[50]ms;</t>
  </si>
  <si>
    <t>Step 1: Send DiagBy[Physical]Data[10 01];
Step 2: Check DiagData[50 01 00  32 00 C8]Within[50]ms;
Step 3: Delay[1000]ms;
Step 4: Send DiagBy[Physical]Data[10 03];
Step 5: Check DiagData[50 03 00  32 00 C8]Within[50]ms;
Step 6: Send DiagBy[Physical]Data[31 01 02 03];
Step 7: Check DiagData[71 01 02 03 00]Within[50]ms;
Step 8: Send DiagBy[Physical]Data[10 02];
Step 9: Check DiagData[50 02 00  32 00 C8]Within[50]ms;
Step 10: Send DiagBy[Physical]Data[27 01]AndCheckResp[PositiveResponse];
Step 11: Send Security Right KeyBy[Physical]Level[02];
Step 12: Check DiagData[67 02]Within[50]ms;
Step 13: Send DiagBy[Function]Data[31 01 DF FE 00 00 00 00 00];
Step 14: Check No_Response Within[1000]ms;</t>
  </si>
  <si>
    <t>1.Check DiagData[50 03 00  32 00 C8]Within[50]ms;
3.Check DiagData[67 02]Within[50]ms;</t>
    <phoneticPr fontId="4" type="noConversion"/>
  </si>
  <si>
    <t xml:space="preserve">
1.Send DiagBy[Physical]Data[10 03];
2.Send DiagBy[Physical]Data[27 01]AndCheckResp[PositiveResponse];
3.Send Security Right KeyBy[Physical]Level[0x2];
4.Set Voltage[0]V;
5.Delay[5000]ms;
6.Set Voltage[12]V;
7.Delay[3000]ms;
8.Send DiagBy[Physical]Data[27 01]AndCheckResp[PositiveResponse];
</t>
    <phoneticPr fontId="4" type="noConversion"/>
  </si>
  <si>
    <t>1.Check DiagData[50 03 00  32 00 C8]Within[50]ms;
3.Check DiagData[67 02]Within[50]ms;
4.Check DiagData[51 01]Within[50]ms;</t>
    <phoneticPr fontId="4" type="noConversion"/>
  </si>
  <si>
    <t>After unlocking, triggering the seed request again should respond with all zeros-$27</t>
    <phoneticPr fontId="4" type="noConversion"/>
  </si>
  <si>
    <r>
      <t xml:space="preserve">
1.Send DiagBy[Physical]Data[10 01];
2.Send DiagBy[Physical]Data[10 03];
5.Send DiagBy[Physical]Data[27 01]AndCheckResp[PositiveResponse];
6.Send Security Right KeyBy[Physical]Level[0x02]
7.Delay[3000]ms;
8.Send DiagBy[Physical]Data[3E 00]AndCheckResp[PositiveResponse]</t>
    </r>
    <r>
      <rPr>
        <sz val="10"/>
        <color rgb="FF000000"/>
        <rFont val="Times New Roman"/>
        <family val="1"/>
      </rPr>
      <t xml:space="preserve">
9.Send DiagBy[Physical]Data[27 01];
</t>
    </r>
    <phoneticPr fontId="4" type="noConversion"/>
  </si>
  <si>
    <t xml:space="preserve">
1.Send DiagBy[Physical]Data[10 03];
2.Send DiagBy[Physical]Data[27 01]AndCheckResp[PositiveResponse];
3.Send Security Right KeyBy[Physical]Level[0x2];
4.Send DiagBy[Physical]Data[11 01];
5.Delay[1000]ms;
6.Send DiagBy[Physical]Data[27 01]AndCheckResp[PositiveResponse];
</t>
    <phoneticPr fontId="4" type="noConversion"/>
  </si>
  <si>
    <t xml:space="preserve">
1.Send DiagBy[Physical]Data[10 03];
2.Send DiagBy[Physical]Data[27 01]AndCheckResp[PositiveResponse];
3.Send Security Right KeyBy[Physical]Level[0x2];
4.Send DiagBy[Physical]Data[10 01];
5.Send DiagBy[Physical]Data[27 01]AndCheckResp[0x7F];
</t>
    <phoneticPr fontId="4" type="noConversion"/>
  </si>
  <si>
    <t>1.Check DiagData[50 03 00  32 00 C8]Within[50]ms;
3.Check DiagData[67 02]Within[50]ms;
4.Check DiagData[50 01 00  32 00 C8]Within[50]ms;</t>
    <phoneticPr fontId="4" type="noConversion"/>
  </si>
  <si>
    <t>NRC 0x13&gt;0x12</t>
    <phoneticPr fontId="4" type="noConversion"/>
  </si>
  <si>
    <t>NRC 0x12&gt;0x7F</t>
    <phoneticPr fontId="4" type="noConversion"/>
  </si>
  <si>
    <t>1.Send DiagBy[Physical]Data[10 01];
2.Send DiagBy[Physical]Data[27 07];</t>
    <phoneticPr fontId="4" type="noConversion"/>
  </si>
  <si>
    <t>1.Check DiagData[50 03 00  32 00 C8]Within[50]ms;
2.Check DiagData[7F 27 12]Within[50]ms;</t>
    <phoneticPr fontId="4" type="noConversion"/>
  </si>
  <si>
    <t>UDS协议中NRC优先级从高到低排列为：0x11 &gt; 0x7F &gt; 0x13 &gt; 0x12 &gt; 0x7E &gt; 0x33 &gt; 0x24 &gt; 0x31 &gt; 0x22 &gt; 0x78。</t>
    <phoneticPr fontId="4" type="noConversion"/>
  </si>
  <si>
    <t>NRC 0x13&gt;0x37</t>
    <phoneticPr fontId="4" type="noConversion"/>
  </si>
  <si>
    <t>1.Send DiagBy[Physical]Data[10 03];
2.Send DiagBy[Physical]Data[27 07]WithLen[1];</t>
    <phoneticPr fontId="4" type="noConversion"/>
  </si>
  <si>
    <t>1.Send DiagBy[Physical]Data[10 03];
2.Send DiagBy[Function]Data[27 01]AndCheckResp[NoResponse];
3.Send DiagBy[Function]Data[27 01]AndCheckResp[NoResponse];
4.Send DiagBy[Function]Data[27 01]AndCheckResp[NoResponse];
5.Send DiagBy[Physical]Data[27 07]WithLen[1];</t>
    <phoneticPr fontId="4" type="noConversion"/>
  </si>
  <si>
    <t>1.Check DiagData[50 03 00  32 00 C8]Within[50]ms;
2.Check DiagData[7F 27 13]Within[50]ms;</t>
    <phoneticPr fontId="4" type="noConversion"/>
  </si>
  <si>
    <t>1.Check No_Response Within[1000]ms;
2.Check DiagData[7F 27 13]Within[50]ms;</t>
    <phoneticPr fontId="4" type="noConversion"/>
  </si>
  <si>
    <t>1.Send DiagBy[Function]Data[10 03];
2.Send DiagBy[Function]Data[27 01]AndCheckResp[NoResponse];
3.Send Security Right KeyBy[Function]Level[0x2];</t>
    <phoneticPr fontId="4" type="noConversion"/>
  </si>
  <si>
    <t>1.Send DiagBy[Physical]Data[10 03];
2.Send DiagBy[Function]Data[27 01]WithLen[1];</t>
    <phoneticPr fontId="4" type="noConversion"/>
  </si>
  <si>
    <t>Functional Addressing Request Response NRC 0x13-$27</t>
    <phoneticPr fontId="4" type="noConversion"/>
  </si>
  <si>
    <t xml:space="preserve">
1.Power On;
</t>
    <phoneticPr fontId="4" type="noConversion"/>
  </si>
  <si>
    <t>1.Send DiagBy[Physical]Data[10 01];
2.Send DiagBy[Physical]Data[27 01]AndCheckResp[0x7F];</t>
    <phoneticPr fontId="4" type="noConversion"/>
  </si>
  <si>
    <t xml:space="preserve">
1.Send DiagBy[Physical]Data[10 01];
2.Send DiagBy[Physical]Data[10 03];
3.Send DiagBy[Physical]Data[27 02];
</t>
    <phoneticPr fontId="4" type="noConversion"/>
  </si>
  <si>
    <t xml:space="preserve">
1.Send DiagBy[Physical]Data[10 01];
2.Send DiagBy[Physical]Data[10 03];
3.Send DiagBy[Physical]Data[27 01]AndCheckResp[PositiveResponse];
4.Send DiagBy[Physical]Data[2E F1 90 56 4E 53 5A 48 49 54 54 45 43 48 30 30 30 30 30 31];
</t>
    <phoneticPr fontId="4" type="noConversion"/>
  </si>
  <si>
    <r>
      <t xml:space="preserve">
1.Send DiagBy[Physical]Data[10 01];
2.Send DiagBy[Physical]Data[10 03];
5.Send DiagBy[Physical]Data[27 01]AndCheckResp[PositiveResponse];
6.Send Security Right KeyBy[Physical]Level[0x02]
7.Delay[3000]ms;
8.Send DiagBy[Physical]Data[3E 00]AndCheckResp[PositiveResponse]</t>
    </r>
    <r>
      <rPr>
        <sz val="10"/>
        <color rgb="FF000000"/>
        <rFont val="Times New Roman"/>
        <family val="1"/>
      </rPr>
      <t xml:space="preserve">
9.Send DiagBy[Physical]Data[27 01];
</t>
    </r>
    <phoneticPr fontId="4" type="noConversion"/>
  </si>
  <si>
    <t xml:space="preserve">
1.Send DiagBy[Physical]Data[10 03];
2.Send DiagBy[Physical]Data[27 01]AndCheckResp[PositiveResponse];
3.Send Security Right KeyBy[Physical]Level[0x2];
4.Send DiagBy[Physical]Data[11 01];
5.Delay[1000]ms;
6.Send DiagBy[Physical]Data[27 01]AndCheckResp[0x7F];
</t>
    <phoneticPr fontId="4" type="noConversion"/>
  </si>
  <si>
    <t>1.Check DiagData[50 01 00 32 00 C8]Within[50]ms;</t>
  </si>
  <si>
    <t>1.Check DiagData[50 01 00 32 00 C8]Within[50]ms;
2.Check DiagData[50 03 00 32 00 C8]Within[50]ms;
4.Check DiagData[50 02 00 32 00 C8]Within[50]ms;</t>
  </si>
  <si>
    <t>1.Check DiagData[50 01 00 32 00 C8]Within[50]ms;
3.Check DiagData[50 03 00 32 00 C8]Within[50]ms;
5.Check DiagData[67 02]Within[50]ms;</t>
  </si>
  <si>
    <t>1.Check DiagData[50 03 00 32 00 C8]Within[50]ms;</t>
  </si>
  <si>
    <t>1.Check DiagData[50 01 00 32 00 C8]Within[50]ms;
2.Check DiagData[50 03 00 32 00 C8]Within[50]ms;
3.Check DiagData[7F 27 12]Within[50]ms;
4.Check DiagData[7F 27 12]Within[50]ms;</t>
  </si>
  <si>
    <t>1.Check DiagData[50 01 00 32 00 C8]Within[50]ms;
2.Check DiagData[50 03 00 32 00 C8]Within[50]ms;
3.Check DiagData[7F 27 24]Within[50]ms;</t>
  </si>
  <si>
    <t>1.Check DiagData[50 01 00 32 00 C8]Within[50]ms;
2.Check DiagData[50 03 00 32 00 C8]Within[50]ms;
4.Check DiagData[7F 2E 11]Within[50]ms;</t>
  </si>
  <si>
    <t>1.Check DiagData[50 01 00 32 00 C8]Within[50]ms;
2.Check DiagData[50 03 00 32 00 C8]Within[50]ms;
4.Check DiagData[67 02]Within[50]ms;
5.Check DiagData[[7F 2E 11]Within[50]ms;</t>
  </si>
  <si>
    <t>1.Check DiagData[50 01 00 32 00 C8]Within[50]ms;
2.Check DiagData[50 03 00 32 00 C8]Within[50]ms;
3.Check DiagData[7F 27 24]Within[50]ms;
4.Check DiagData[[7F 2E 11]Within[50]ms;</t>
  </si>
  <si>
    <t>1.Check DiagData[50 01 00 32 00 C8]Within[50]ms;
2.Check DiagData[50 03 00 32 00 C8]Within[50]ms;
4.Check DiagData[67 02]Within[50]ms;</t>
  </si>
  <si>
    <t>1.Check DiagData[50 01 00 32 00 C8]Within[50]ms;
2.Check DiagData[50 03 00 32 00 C8]Within[50]ms;
4.Check DiagData[7F 27 35]Within[50]ms;
5.Check DiagData[7E 00]Within[50]ms;
7.Check DiagData[7F 27 35]Within[50]ms;
8.Check DiagData[7E 00]Within[50]ms;
10.Check DiagData[7F 27 36]Within[50]ms;</t>
  </si>
  <si>
    <t>1.Check DiagData[50 01 00 32 00 C8]Within[50]ms;
2.Check DiagData[50 03 00 32 00 C8]Within[50]ms;
4.Check DiagData[7F 27 35]Within[50]ms;
6.Check DiagData[7F 27 35]Within[50]ms;
8.Check DiagData[7F 27 36]Within[50]ms;</t>
  </si>
  <si>
    <t>1.Check DiagData[50 01 00 32 00 C8]Within[50]ms;
2.Check DiagData[50 03 00 32 00 C8]Within[50]ms;
4.Check DiagData[7F 27 35]Within[50]ms;
7.Check DiagData[7F 27 35]Within[50]ms;
10.Check DiagData[7F 27 36]Within[50]ms;
21.Check DiagData[67 02]Within[50]ms;
23.Check DiagData[7F 27 24]Within[50]ms;</t>
  </si>
  <si>
    <t>1.Check DiagData[50 01 00 32 00 C8]Within[50]ms;
2.Check DiagData[50 03 00 32 00 C8]Within[50]ms;
4.Check DiagData[7F 27 35]Within[50]ms;
7.Check DiagData[7F 27 35]Within[50]ms;
10.Check DiagData[7F 27 36]Within[50]ms;
22.Check DiagData[7F 27 36]Within[50]ms;
33.Check DiagData[67 02]Within[50]ms;
34.Check DiagData[50 03 00 32 00 C8]Within[50]ms;
36.Check DiagData[7F 27 35]Within[50]ms;</t>
  </si>
  <si>
    <t>1.Check DiagData[50 01 00 32 00 C8]Within[50]ms;
2.Check DiagData[50 03 00 32 00 C8]Within[50]ms;
4.Check DiagData[7F 27 35]Within[50]ms;
6.Check DiagData[7F 27 35]Within[50]ms;
8.Check DiagData[7F 27 36]Within[50]ms;
19.Check DiagData[7F 27 36]Within[50]ms;
25.Check DiagData[50 03 00 32 00 C8]Within[50]ms;
36.Check DiagData[67 02]Within[50]ms;
37.Check DiagData[50 03 00 32 00 C8]Within[50]ms;
39.Check DiagData[67 02]Within[50]ms;
40.Check DiagData[50 03 00 32 00 C8]Within[50]ms;
42.Check DiagData[7F 27 35]Within[50]ms;
43.Check DiagData[50 03 00 32 00 C8]Within[50]ms;
45.Check DiagData[7F 27 35]Within[50]ms;</t>
  </si>
  <si>
    <t>1.Check DiagData[50 01 00 32 00 C8]Within[50]ms;
2.Check DiagData[50 03 00 32 00 C8]Within[50]ms;
4.Check DiagData[7F 27 35]Within[50]ms;
6.Check DiagData[7F 27 35]Within[50]ms;
8.Check DiagData[7F 27 36]Within[50]ms;
19.Check DiagData[67 02]Within[50]ms;
25.Check DiagData[50 03 00 32 00 C8]Within[50]ms;
29.Check DiagData[7F 27 35]Within[50]ms;
31.Check DiagData[7F 27 35]Within[50]ms;
33.Check DiagData[7F 27 36]Within[50]ms;</t>
  </si>
  <si>
    <t>1.Check DiagData[50 01 00 32 00 C8]Within[50]ms;
2.Check DiagData[50 03 00 32 00 C8]Within[50]ms;
4.Check DiagData[7F 27 35]Within[50]ms;
7.Check DiagData[7F 27 35]Within[50]ms;
10.Check DiagData[7F 27 36]Within[50]ms;
13.Check DiagData[51 01]Within[50]ms;
15.Check DiagData[50 03 00 32 00 C8]Within[50]ms;</t>
  </si>
  <si>
    <t>1.Check DiagData[50 01 00 32 00 C8]Within[50]ms;
2.Check DiagData[50 03 00 32 00 C8]Within[50]ms;
4.Check DiagData[7F 27 35]Within[50]ms;
7.Check DiagData[7F 27 35]Within[50]ms;
10.Check DiagData[7F 27 36]Within[50]ms;</t>
  </si>
  <si>
    <t>1.Check DiagData[50 01 00 32 00 C8]Within[50]ms;
2.Check DiagData[50 03 00 32 00 C8]Within[50]ms;
17.Check DiagData[67 02]Within[50]ms;
20.Check DiagData[50 03 00 32 00 C8]Within[50]ms;</t>
  </si>
  <si>
    <t>0.Check DiagData[50 01 00 32 00 C8]Within[50]ms;
1.Check DiagData[50 03 00 32 00 C8]Within[50]ms;
17.Check DiagData[67 02]Within[50]ms;
18.Check DiagData[50 03 00 32 00 C8]Within[50]ms;
20.Check DiagData[67 02]Within[50]ms;</t>
  </si>
  <si>
    <t>0.Check DiagData[50 01 00 32 00 C8]Within[50]ms;
1.Check DiagData[50 03 00 32 00 C8]Within[50]ms;
22.Check DiagData[50 03 00 32 00 C8]Within[50]ms;
33.Check DiagData[67 02]Within[50]ms;
34.Check DiagData[50 03 00 32 00 C8]Within[50]ms;
36.Check DiagData[67 02]Within[50]ms;</t>
  </si>
  <si>
    <t>1.Check DiagData[50 01 00 32 00 C8]Within[50]ms;
Delay[3000]ms;
2.Check DiagData[50 03 00 32 00 C8]Within[50]ms;
6.Check DiagData[67 02]Within[50]ms;
9.Check DiagData[67 01 00 00 00 00 00 00 00 00 00 00 00 00 00 00 00 00]Within[150]ms;</t>
  </si>
  <si>
    <t>1.Check DiagData[50 01 00 32 00 C8]Within[50]ms;
2.Check DiagData[50 03 00 32 00 C8]Within[50]ms;
3.Check DiagData[7F 27 24]Within[50]ms;
4.Check DiagData[7F 2E 11]Within[50]ms;</t>
  </si>
  <si>
    <t>1.Check DiagData[50 01 00 32 00 C8]Within[50]ms;
Delay[3000]ms;
2.Check DiagData[50 03 00 32 00 C8]Within[50]ms;
6.Check DiagData[67 02]Within[50]ms;
9.Check DiagData[67 01 00 00 00 00 00 00 00 00 00 00 00 00 00 00 00 00]Within[50]ms;</t>
    <phoneticPr fontId="4" type="noConversion"/>
  </si>
  <si>
    <t xml:space="preserve">
1.Send DiagBy[Physical]Data[10 03];
2.Send DiagBy[Physical]Data[27 01]AndCheckResp[PositiveResponse];
3.Send Security Right KeyBy[Physical]Level[0x2];
4.Set Voltage[0]V;
5.Delay[5000]ms;
6.Set Voltage[12]V;
7.Delay[3000]ms;
8.Send DiagBy[Physical]Data[27 01]AndCheckResp[0x7F];
</t>
    <phoneticPr fontId="4" type="noConversion"/>
  </si>
  <si>
    <t>1.Check DiagData[50 03 00  32 00 C8]Within[50]ms;
3.Check DiagData[67 02]Within[50]ms;</t>
    <phoneticPr fontId="4" type="noConversion"/>
  </si>
  <si>
    <t xml:space="preserve">
1.Send DiagBy[Physical]Data[10 01];
2.Send DiagBy[Physical]Data[10 03];
5.Send DiagBy[Physical]Data[27 01]AndCheckResp[PositiveResponse];
6.Send Security Right KeyBy[Physical]Level[0x02]
7.Delay[5100]ms;
8.Send DiagBy[Physical]Data[27 01];
</t>
    <phoneticPr fontId="4" type="noConversion"/>
  </si>
  <si>
    <t>1.Check DiagData[50 01 00 32 00 C8]Within[50]ms;
Delay[3000]ms;
2.Check DiagData[50 03 00 32 00 C8]Within[50]ms;
6.Check DiagData[67 02]Within[50]ms;
9.Check DiagData[7F 27 7F]Within[50]ms;</t>
    <phoneticPr fontId="4" type="noConversion"/>
  </si>
  <si>
    <t>Check after S3 timeout exits to the default session-$27</t>
    <phoneticPr fontId="4" type="noConversion"/>
  </si>
  <si>
    <t>测试过程与预期结果检查中，没有编号，且过程中存在check函数</t>
    <phoneticPr fontId="4" type="noConversion"/>
  </si>
  <si>
    <t>1.General
2.DiagnosticServices</t>
    <phoneticPr fontId="4" type="noConversion"/>
  </si>
  <si>
    <t>Based on analysis of requirements</t>
    <phoneticPr fontId="4" type="noConversion"/>
  </si>
  <si>
    <t>Programing Session nonsupport service 0x28 NegativeCase-$28</t>
    <phoneticPr fontId="4" type="noConversion"/>
  </si>
  <si>
    <t>Programing Session nonsupport service 0x28 NegativeCase-$28</t>
    <phoneticPr fontId="4" type="noConversion"/>
  </si>
  <si>
    <t>Extended Session support 0x28 service 0x00 subfunction control normal communication messages sending and receiving PositiveResponseCase-$28</t>
  </si>
  <si>
    <t>Extended Session nonsupport 0x28 service 0x03 subfunction control network management  communication messages sending and receiving NegativeCase-$28</t>
    <phoneticPr fontId="4" type="noConversion"/>
  </si>
  <si>
    <t>Extended Session nonsupport 0x28 service 0x01 subfunction NegativeCase-$28</t>
    <phoneticPr fontId="4" type="noConversion"/>
  </si>
  <si>
    <t>Extended Session nonsupport 0x28 service 0x02 subfunction NegativeCase-$28</t>
    <phoneticPr fontId="4" type="noConversion"/>
  </si>
  <si>
    <t>1.2 Secure Access Test</t>
    <phoneticPr fontId="4" type="noConversion"/>
  </si>
  <si>
    <t>1.General
2.DiagnosticServices</t>
    <phoneticPr fontId="4" type="noConversion"/>
  </si>
  <si>
    <t>Security access L1 unlock supports support 0x28 service 0x00 subfunction control network management communication messages and normal communication messages sending and receiving PositiveResponseCase-$28</t>
  </si>
  <si>
    <t>1.Power On</t>
    <phoneticPr fontId="4" type="noConversion"/>
  </si>
  <si>
    <t>Security access L1 unlock supports support 0x28 service 0x01 subfunction control network management communication messages and normal communication messages sending and receiving PositiveResponseCase-$28</t>
  </si>
  <si>
    <t>1.3 SPRMIB Test</t>
    <phoneticPr fontId="4" type="noConversion"/>
  </si>
  <si>
    <t>Default Session nonsupport service 0x28 with SPRMIB NegativeCase-$28</t>
  </si>
  <si>
    <t xml:space="preserve">
1.Power On;
</t>
    <phoneticPr fontId="4" type="noConversion"/>
  </si>
  <si>
    <t>Extended Session nonsupport 0x28 service 0x02 subfunction with SPRMIB NegativeCase-$28</t>
    <phoneticPr fontId="4" type="noConversion"/>
  </si>
  <si>
    <t>Extended Session nonsupport 0x28 service 0x03 subfunction with SPRMIB NegativeCase-$28</t>
  </si>
  <si>
    <t>Extended Session support 0x28 service 0x00 subfunction control normal communication messages sending and receiving with SPRMIB PositiveResponseCase-$28</t>
  </si>
  <si>
    <t>Extended Session nonsupport 0x28 service 0x00 subfunction control network management communication messages sending and receiving with SPRMIB NegativeCase-$28</t>
  </si>
  <si>
    <t>Extended Session support 0x28 service 0x00 subfunction control network Management communication messages and normal communication messages sending and receiving with SPRMIB PositiveResponseCase-$28</t>
  </si>
  <si>
    <t>Extended Session support 0x28 service 0x01 subfunction control normal communication messages sending and receiving with SPRMIB PositiveResponseCase-$28</t>
  </si>
  <si>
    <t>Extended Session nonsupport 0x28 service 0x01 subfunction control network management communication messages sending and receiving with SPRMIB NegativeCase-$28</t>
  </si>
  <si>
    <t>Security access L2 unlock supports support 0x28 service 0x00 subfunction control network management communication messages and normal communication messages sending and receiving PositiveResponseCase-$28</t>
  </si>
  <si>
    <t>1.4 Communication Control Function Test</t>
    <phoneticPr fontId="4" type="noConversion"/>
  </si>
  <si>
    <t>0x28 Service control normal communication messages function test PositiveResponseCase-$28</t>
  </si>
  <si>
    <t>1.5 ECU Reset Test</t>
    <phoneticPr fontId="4" type="noConversion"/>
  </si>
  <si>
    <t>Jumping to Default Session reset 0x28 service normal communication messages control state NegativeCase-$28</t>
  </si>
  <si>
    <t>Hardreset reset 0x28 service normal communication messages control state NegativeCase-$28</t>
    <phoneticPr fontId="4" type="noConversion"/>
  </si>
  <si>
    <t>Power restart reset 0x28 service network management communication messages and normal communication messages control state NegativeCase-$28</t>
    <phoneticPr fontId="4" type="noConversion"/>
  </si>
  <si>
    <t>1.6 Sub-function Traversal</t>
    <phoneticPr fontId="4" type="noConversion"/>
  </si>
  <si>
    <t>Subfunction traversal test control normal communication messages NegativeCase-$28</t>
    <phoneticPr fontId="4" type="noConversion"/>
  </si>
  <si>
    <t>Subfunction traversal test control network management communication messages and normal communication messages NegativeCase-$28</t>
    <phoneticPr fontId="4" type="noConversion"/>
  </si>
  <si>
    <t>Network type parameter traversal test 0x28 Service 0x00 subfunction NegativeCase-$28</t>
    <phoneticPr fontId="4" type="noConversion"/>
  </si>
  <si>
    <t>Network type parameter traversal test 0x28 Service 0x01 subfunction NegativeCase-$28</t>
    <phoneticPr fontId="4" type="noConversion"/>
  </si>
  <si>
    <t>1.7 Incorrect Diagnostic Command Test</t>
    <phoneticPr fontId="4" type="noConversion"/>
  </si>
  <si>
    <t>Valid SF_DL=3, invalid SF_DL &lt; 3, and those with invalid equivalence class SF_DL=2 NegativeCase-$28</t>
    <phoneticPr fontId="4" type="noConversion"/>
  </si>
  <si>
    <t>boundary values</t>
    <phoneticPr fontId="4" type="noConversion"/>
  </si>
  <si>
    <t>Valid SF_DL=3, invalid SF_DL &gt; 3, and those with invalid equivalence class SF_DL=4  NegativeCase-$28</t>
    <phoneticPr fontId="4" type="noConversion"/>
  </si>
  <si>
    <t>1.8NRC Priority</t>
    <phoneticPr fontId="4" type="noConversion"/>
  </si>
  <si>
    <t>NRC 13&gt;12</t>
    <phoneticPr fontId="4" type="noConversion"/>
  </si>
  <si>
    <t>2.Application Service_Functional  Addressing</t>
    <phoneticPr fontId="4" type="noConversion"/>
  </si>
  <si>
    <t>2.1 Session Layer Test</t>
    <phoneticPr fontId="4" type="noConversion"/>
  </si>
  <si>
    <t>Programing Session nonsupport service 0x28 NegativeCase-$28</t>
    <phoneticPr fontId="4" type="noConversion"/>
  </si>
  <si>
    <t>Extended Session nonsupport 0x28 service 0x03 subfunction control network management  communication messages sending and receiving NegativeCase-$28</t>
    <phoneticPr fontId="4" type="noConversion"/>
  </si>
  <si>
    <t>Extended Session nonsupport 0x28 service 0x01 subfunction NegativeCase-$28</t>
    <phoneticPr fontId="4" type="noConversion"/>
  </si>
  <si>
    <t>2.2 Secure Access Test</t>
    <phoneticPr fontId="4" type="noConversion"/>
  </si>
  <si>
    <t>2.2 SPRMIB Test</t>
    <phoneticPr fontId="4" type="noConversion"/>
  </si>
  <si>
    <t>2.5 Communication Control Function Test</t>
    <phoneticPr fontId="4" type="noConversion"/>
  </si>
  <si>
    <t>1.General
2.DiagnosticServices</t>
    <phoneticPr fontId="4" type="noConversion"/>
  </si>
  <si>
    <t>Based on analysis of requirements</t>
    <phoneticPr fontId="4" type="noConversion"/>
  </si>
  <si>
    <t>1.Power On</t>
    <phoneticPr fontId="4" type="noConversion"/>
  </si>
  <si>
    <t>2.4 ECU Reset Test</t>
    <phoneticPr fontId="4" type="noConversion"/>
  </si>
  <si>
    <t>Hardreset reset 0x28 service normal communication messages control state NegativeCase-$28</t>
    <phoneticPr fontId="4" type="noConversion"/>
  </si>
  <si>
    <t>1.Power On</t>
    <phoneticPr fontId="4" type="noConversion"/>
  </si>
  <si>
    <t>Power restart reset 0x28 service network management communication messages and normal communication messages control state NegativeCase-$28</t>
    <phoneticPr fontId="4" type="noConversion"/>
  </si>
  <si>
    <t>2.6 Sub-function Traversal And Network Type Test</t>
    <phoneticPr fontId="4" type="noConversion"/>
  </si>
  <si>
    <t>Subfunction traversal test control normal communication messages NegativeCase-$28</t>
    <phoneticPr fontId="4" type="noConversion"/>
  </si>
  <si>
    <t>Subfunction traversal test control network management communication messages and normal communication messages NegativeCase-$28</t>
    <phoneticPr fontId="4" type="noConversion"/>
  </si>
  <si>
    <t>Network type parameter traversal test 0x28 Service 0x00 subfunction NegativeCase-$28</t>
    <phoneticPr fontId="4" type="noConversion"/>
  </si>
  <si>
    <t>Network type parameter traversal test 0x28 Service 0x01 subfunction NegativeCase-$28</t>
    <phoneticPr fontId="4" type="noConversion"/>
  </si>
  <si>
    <t>2.7 Incorrect Diagnostic Command Test</t>
    <phoneticPr fontId="4" type="noConversion"/>
  </si>
  <si>
    <t>Valid SF_DL=3, invalid SF_DL &gt; 3, and those with invalid equivalence class SF_DL=4  NegativeCase-$28</t>
    <phoneticPr fontId="4" type="noConversion"/>
  </si>
  <si>
    <t>2.8NRC Priority</t>
    <phoneticPr fontId="4" type="noConversion"/>
  </si>
  <si>
    <t>3.Application Service_Functional  Addressing</t>
    <phoneticPr fontId="4" type="noConversion"/>
  </si>
  <si>
    <t>3.1 Session Layer Test</t>
    <phoneticPr fontId="4" type="noConversion"/>
  </si>
  <si>
    <t>4.Application Service_Functional  Addressing</t>
    <phoneticPr fontId="4" type="noConversion"/>
  </si>
  <si>
    <t>4.1 Session Layer Test</t>
    <phoneticPr fontId="4" type="noConversion"/>
  </si>
  <si>
    <t>Based on analysis of requirements</t>
    <phoneticPr fontId="4" type="noConversion"/>
  </si>
  <si>
    <t>2.7 Incorrect Diagnostic Command Test</t>
    <phoneticPr fontId="4" type="noConversion"/>
  </si>
  <si>
    <t>When a diagnostic message with DLC &lt; 8 is sent, ECU does not respond NegativeCase-$28</t>
    <phoneticPr fontId="4" type="noConversion"/>
  </si>
  <si>
    <t>1.Check No_Response Within[1000]ms;</t>
    <phoneticPr fontId="4" type="noConversion"/>
  </si>
  <si>
    <t>When a diagnostic message with DLC &gt; 8 is sent, ECU responds normally PositiveResponseCase-$28</t>
  </si>
  <si>
    <t>Valid SF_DL=3, invalid SF_DL &gt; 3, and those with invalid equivalence class SF_DL=4  NegativeCase-$28</t>
    <phoneticPr fontId="4" type="noConversion"/>
  </si>
  <si>
    <t>boundary values</t>
    <phoneticPr fontId="4" type="noConversion"/>
  </si>
  <si>
    <t>1.Send DiagBy[Function]Data[28 00 01]WithLen[4];</t>
    <phoneticPr fontId="4" type="noConversion"/>
  </si>
  <si>
    <t>1.Send DiagBy[Function]Data[28 00 01]WithLen[2];</t>
    <phoneticPr fontId="4" type="noConversion"/>
  </si>
  <si>
    <t>1.Check Diag[50 01 00  32 00 C8]Within[50]ms;
2.Check Diag[7F 28 7F]Within[50]ms;
3.Check Diag[7F 28 7F]Within[50]ms;</t>
  </si>
  <si>
    <t>1.Check Diag[50 01 00  32 00 C8]Within[50]ms;
2.Check Diag[7F 28 7F]Within[50]ms;
3.Check Diag[7F 28 7F]Within[50]ms;
4.Check Diag[7F 28 7F]Within[50]ms;
5.Check Diag[7F 28 7F]Within[50]ms;</t>
  </si>
  <si>
    <t>1.Check Diag[50 01 00  32 00 C8]Within[50]ms;
2.Check No_Response Within[1000]ms;
3.Check No_Response Within[1000]ms;</t>
  </si>
  <si>
    <t>1.Check Diag[50 01 00  32 00 C8]Within[50]ms;
2.Check No_Response Within[1000]ms;
3.Check No_Response Within[1000]ms;
4.Check No_Response Within[1000]ms;
5.Check No_Response Within[1000]ms;</t>
  </si>
  <si>
    <t>1.Check Diag[68 00]Within[150]ms;</t>
  </si>
  <si>
    <t>1.Check Diag[7F 28 13]Within[150]ms;</t>
  </si>
  <si>
    <t>1.Check Diag[50 03 00 32 00 C8]Within[50]ms;
3.Check Diag[67 02]Within[50]ms;
4.Check Diag[68 00]Within[50]ms;</t>
  </si>
  <si>
    <t>1.Check Diag[50 03 00 32 00 C8]Within[50]ms;
2.Check No_Response Within[1000]ms;</t>
  </si>
  <si>
    <t>1.Check Diag[50 03 00 32 00 C8]Within[50]ms;</t>
  </si>
  <si>
    <t>1.Check Diag[50 03 00 32 00 C8]Within[50]ms;
2.Check Diag[7F 28 13]Within[50]ms;</t>
  </si>
  <si>
    <t>1.Check Diag[50 01 00  32 00 C8]Within[50]ms;
2.Check Diag[50 03 00 32 00 C8]Within[50]ms;
3.Check Diag[71 01 02 03 00]Within[50]ms;
4.Check Diag[50 02 00  32 00 C8]Within[50]ms;
5.Check No_Response Within[1000]ms;
6.Check No_Response Within[1000]ms;</t>
  </si>
  <si>
    <t>1.Check Diag[50 03 00 32 00 C8]Within[50]ms;
2.Check No_Response Within[1000]ms;
3.Check No_Response Within[1000]ms;</t>
  </si>
  <si>
    <t>1.Check Diag[50 03 00 32 00 C8]Within[50]ms;
3.Check Diag[67 02]Within[50]ms;
4.Check No_Response Within[1000]ms;</t>
  </si>
  <si>
    <t>1.Send DiagBy[Physical]Data[10 01];
2.Send DiagBy[Physical]Data[10 03];
3.Send DiagBy[Physical]Data[27 01]AndCheckResp[PositiveResponse];
4.Send Security Wrong KeyBy[Physical]Level[0x2];
6.Send DiagBy[Physical]Data[27 01]AndCheckResp[PositiveResponse];
7.Send Security Wrong KeyBy[Physical]Level[0x2];
9.Send DiagBy[Physical]Data[27 01]AndCheckResp[PositiveResponse];
10.Send Security Wrong KeyBy[Physical]Level[0x2];
11.Delay[2500]ms;
12.Send DiagBy[Physical]Data[3E 00]AndCheckResp[PositiveResponse]
13.Delay[2500]ms;
14.Send DiagBy[Physical]Data[3E 00]AndCheckResp[PositiveResponse]
15.Send DiagBy[Physical]Data[27 01]AndCheckResp[0x37];
16.Delay[3000]ms;
17.Send DiagBy[Physical]Data[3E 00]AndCheckResp[PositiveResponse]
18.Delay[3000]ms;
19.Send DiagBy[Physical]Data[3E 00]AndCheckResp[PositiveResponse]
20.Send DiagBy[Physical]Data[27 01]AndCheckResp[PositiveResponse];
22.Send Security Wrong KeyBy[Physical]Level[0x2];
23.Delay[2500]ms;
24.Send DiagBy[Physical]Data[3E 00]AndCheckResp[PositiveResponse]
25.Delay[2500]ms;
26.Send DiagBy[Physical]Data[3E 00]AndCheckResp[PositiveResponse]
27.Send DiagBy[Physical]Data[27 01]AndCheckResp[0x37];
28.Delay[3000]ms;
29.Send DiagBy[Physical]Data[3E 00]AndCheckResp[PositiveResponse]
30.Delay[3000]ms;
31.Send DiagBy[Physical]Data[3E 00]AndCheckResp[PositiveResponse]
32.Send DiagBy[Physical]Data[27 01]AndCheckResp[PositiveResponse];
33.Send Security Right KeyBy[Physical]Level[0x2];
34.Send DiagBy[Physical]Data[10 03];
35.Send DiagBy[Physical]Data[27 01]AndCheckResp[PositiveResponse];
36.Send Security Wrong KeyBy[Physical]Level[0x2];</t>
    <phoneticPr fontId="4" type="noConversion"/>
  </si>
  <si>
    <t>1.Check DiagData[50 01 00  32 00 C8]Within[50]ms;
2.Check DiagData[54]Within[50]ms;</t>
    <phoneticPr fontId="4" type="noConversion"/>
  </si>
  <si>
    <t>Send DiagBy[Physical]Data[10 01];
Check DiagData[50 01 00  32 00 C8]Within[50]ms;
Delay[1000]ms;
Send DiagBy[Physical]Data[10 03];
Check DiagData[50 03 00  32 00 C8]Within[50]ms;
Send DiagBy[Physical]Data[31 01 02 03];
Check DiagData[71 01 02 03 00]Within[50]ms;
Send DiagBy[Physical]Data[10 02];
Check DiagData[50 02 00  32 00 C8]Within[50]ms;
Send DiagBy[Physical]Data[27 01]AndCheckResp[PositiveResponse];
Send Security Right KeyBy[Physical]Level[02];</t>
    <phoneticPr fontId="4" type="noConversion"/>
  </si>
  <si>
    <t>Send DiagBy[Physical]Data[10 01];
Send DiagBy[Physical]Data[27 03];</t>
    <phoneticPr fontId="4" type="noConversion"/>
  </si>
  <si>
    <t>Step 4: 7F 31 7F</t>
    <phoneticPr fontId="4" type="noConversion"/>
  </si>
  <si>
    <t>Step 4: 7F 31 31</t>
    <phoneticPr fontId="4" type="noConversion"/>
  </si>
  <si>
    <t>DiagnosticSessionControl_0x10</t>
    <phoneticPr fontId="4" type="noConversion"/>
  </si>
  <si>
    <t>Service 0x14在诊断调查表中不支持，Test case中需要回复NRC 0x11，而不是回复正向应 0x54</t>
  </si>
  <si>
    <t>1.Check DiagData[50 01 00  32 00 C8]Within[50]ms;
2.Check DiagData[7F 14 11]Within[50]ms;</t>
    <phoneticPr fontId="4" type="noConversion"/>
  </si>
  <si>
    <t>1.Check DiagData[50 03 00  32 00 C8]Within[50]ms;
2.Check DiagData[7F 14 11]Within[50]ms;</t>
    <phoneticPr fontId="4" type="noConversion"/>
  </si>
  <si>
    <t>1.Send DiagBy[Physical]Data[10 01];
2.Delay[1000]ms;
3.Send DiagBy[Physical]Data[10 03];
4.Send DiagBy[Physical]Data[10 02];
5.Send DiagBy[Physical]Data[14 FF FF FF];</t>
    <phoneticPr fontId="4" type="noConversion"/>
  </si>
  <si>
    <t>1.Check DiagData[50 01 00  32 00 C8]Within[50]ms;
3.Check DiagData[50 03 00  32 00 C8]Within[50]ms;
4.Check DiagData[50 02 00  32 00 C8]Within[50]ms;
5.Check DiagData[7F 14 11]Within[50]ms;</t>
    <phoneticPr fontId="4" type="noConversion"/>
  </si>
  <si>
    <t>1.Check DiagData[50 01 00  32 00 C8]Within[50]ms;
2.Check DiagData[7F 19 11]Within[50]ms;</t>
    <phoneticPr fontId="4" type="noConversion"/>
  </si>
  <si>
    <t>1.Send DiagBy[Physical]Data[10 01];
2.Send DiagBy[Physical]Data[19 01];</t>
    <phoneticPr fontId="4" type="noConversion"/>
  </si>
  <si>
    <t>1.Check DiagData[50 01 00  32 00 C8]Within[50]ms;
3.Check DiagData[50 03 00  32 00 C8]Within[50]ms;
4.Check DiagData[50 02 00  32 00 C8]Within[50]ms;
5.Check DiagData[7F 19 11]Within[50]ms;</t>
    <phoneticPr fontId="4" type="noConversion"/>
  </si>
  <si>
    <t>1.Send DiagBy[Physical]Data[10 01];
2.Delay[1000]ms;
3.Send DiagBy[Physical]Data[10 03];
4.Send DiagBy[Physical]Data[10 02];
5.Send DiagBy[Physical]Data[19 01];</t>
    <phoneticPr fontId="4" type="noConversion"/>
  </si>
  <si>
    <t>1.Send DiagBy[Physical]Data[10 03];
2.Send DiagBy[Physical]Data[19 01];</t>
    <phoneticPr fontId="4" type="noConversion"/>
  </si>
  <si>
    <t>1.Check DiagData[50 03 00  32 00 C8]Within[50]ms;
2.Check DiagData[7F 19 11]Within[50]ms;</t>
    <phoneticPr fontId="4" type="noConversion"/>
  </si>
  <si>
    <t>Default Session support 0x19 services</t>
    <phoneticPr fontId="4" type="noConversion"/>
  </si>
  <si>
    <t>Programming Session nonsupport 0x19 services</t>
    <phoneticPr fontId="4" type="noConversion"/>
  </si>
  <si>
    <t>Extended Session support 0x19 services</t>
    <phoneticPr fontId="4" type="noConversion"/>
  </si>
  <si>
    <t>Diag_0x19_Phy_001</t>
    <phoneticPr fontId="4" type="noConversion"/>
  </si>
  <si>
    <t>Diag_0x19_Phy_002</t>
    <phoneticPr fontId="4" type="noConversion"/>
  </si>
  <si>
    <t>Diag_0x19_Phy_003</t>
    <phoneticPr fontId="4" type="noConversion"/>
  </si>
  <si>
    <t>1.Send DiagBy[Physical]Data[10 01];
2.Send DiagBy[Physical]Data[2E F1 94 00 00 00 00 00 00 00 00 00];</t>
    <phoneticPr fontId="4" type="noConversion"/>
  </si>
  <si>
    <t>1.Check DiagData[50 01 00  32 00 C8]Within[50]ms;
2.Check DiagData[7F 2E 11]Within[50]ms;</t>
    <phoneticPr fontId="4" type="noConversion"/>
  </si>
  <si>
    <t>1.Check DiagData[50 01 00  32 00 C8]Within[50]ms;
3.Check DiagData[50 03 00  32 00 C8]Within[50]ms;
4.Check DiagData[50 02 00  32 00 C8]Within[50]ms;
5.Check DiagData[7F 2E 11]Within[50]ms;</t>
    <phoneticPr fontId="4" type="noConversion"/>
  </si>
  <si>
    <t>1.Check DiagData[50 03 00  32 00 C8]Within[50]ms;
2.Check DiagData[7F 2E 11]Within[50]ms;</t>
    <phoneticPr fontId="4" type="noConversion"/>
  </si>
  <si>
    <t>1.Send DiagBy[Physical]Data[10 01];
2.Delay[1000]ms;
3.Send DiagBy[Physical]Data[10 03];
4.Send DiagBy[Physical]Data[10 02];
5.Send DiagBy[Physical]Data[2E F1 94 00 00 00 00 00 00 00 00 00];</t>
    <phoneticPr fontId="4" type="noConversion"/>
  </si>
  <si>
    <t>1.Send DiagBy[Physical]Data[10 03];
2.Send DiagBy[Physical]Data[2E F1 94 00 00 00 00 00 00 00 00 00];</t>
    <phoneticPr fontId="4" type="noConversion"/>
  </si>
  <si>
    <t>1.Send Msg[0x3C]Data[03 28 00 01]WithDLC[7];</t>
  </si>
  <si>
    <t>1.Send Msg[0x3C]Data[03 28 00 01]WithDLC[9];</t>
  </si>
  <si>
    <t>1.Check Diag[50 01 00  32 00 C8]Within[50]ms;
2.Check Diag[7F 28 7F]Within[50]ms;
3.Check Diag[7F 28 7F]Within[50]ms;</t>
    <phoneticPr fontId="4" type="noConversion"/>
  </si>
  <si>
    <t>1.Check Diag[50 01 00  32 00 C8]Within[50]ms;
3.Check Diag[50 03 00 32 00 C8]Within[50]ms;
4.Check Diag[50 02 00  32 00 C8]Within[50]ms;
5.Check Diag[7F 28 12]Within[50]ms;
6.Check Diag[7F 28 12]Within[50]ms;</t>
    <phoneticPr fontId="4" type="noConversion"/>
  </si>
  <si>
    <t>1.Check Diag[50 03 00 32 00 C8]Within[50]ms;
2.Check Diag[68 00]Within[50]ms;
3.Check Diag[68 00]Within[50]ms;</t>
    <phoneticPr fontId="4" type="noConversion"/>
  </si>
  <si>
    <t>1.Check Diag[50 03 00 32 00 C8]Within[50]ms;
2.Check Diag[7F 28 12]Within[50]ms;
3.Check Diag[7F 28 12]Within[50]ms;</t>
    <phoneticPr fontId="4" type="noConversion"/>
  </si>
  <si>
    <t>1.Check Diag[50 03 00 32 00 C8]Within[50]ms;
2.Check Diag[7F 28 12]Within[50]ms;
3.Check Diag[7F 28 12]Within[50]ms;</t>
    <phoneticPr fontId="4" type="noConversion"/>
  </si>
  <si>
    <t>1.Check Diag[50 01 00  32 00 C8]Within[50]ms;
2.Check Diag[50 03 00 32 00 C8]Within[50]ms;
4.Check Diag[50 02 00  32 00 C8]Within[50]ms;
5.Check Diag[68 00]Within[50]ms;
6.Check Diag[68 00]Within[50]ms;</t>
    <phoneticPr fontId="4" type="noConversion"/>
  </si>
  <si>
    <t>1.Check Diag[50 03 00 32 00 C8]Within[50]ms;
2.Check Diag[68 02]Within[50]ms;
3.Check Diag[68 02]Within[50]ms;</t>
    <phoneticPr fontId="4" type="noConversion"/>
  </si>
  <si>
    <t>1.Check Diag[50 03 00 32 00 C8]Within[50]ms;
3.Check Diag[67 02]Within[50]ms;
4.Check Diag[7F 28 12]Within[50]ms;</t>
    <phoneticPr fontId="4" type="noConversion"/>
  </si>
  <si>
    <t>1.Check Diag[50 03 00 32 00 C8]Within[50]ms;
3.Check Diag[67 02]Within[50]ms;
4.Check Diag[7F 28 12]Within[50]ms;</t>
    <phoneticPr fontId="4" type="noConversion"/>
  </si>
  <si>
    <t>1.Check Diag[50 03 00 32 00 C8]Within[50]ms;
2.Check No_Response Within[1000]ms;</t>
    <phoneticPr fontId="4" type="noConversion"/>
  </si>
  <si>
    <t>1.Check Diag[50 03 00 32 00 C8]Within[50]ms;
2.Check No_Response Within[1000]ms;
3.Check No_Response Within[1000]ms;</t>
    <phoneticPr fontId="4" type="noConversion"/>
  </si>
  <si>
    <t>1.Check Diag[50 03 00 32 00 C8]Within[50]ms;
2.Check No_Response Within[1000]ms;
3.Check No_Response Within[1000]ms;</t>
    <phoneticPr fontId="4" type="noConversion"/>
  </si>
  <si>
    <t>1.Check Diag[50 03 00 32 00 C8]Within[50]ms;
2.Check Diag[68 03]Within[50]ms;
Check MsgInexist[0x09];
3.Check Diag[68 00]Within[50]ms;
Check MsgExist[0x09];</t>
  </si>
  <si>
    <t>1.Check Diag[50 03 00 32 00 C8]Within[50]ms;
2.Check No_Response Within[1000]ms;
Check MsgInexist[0x09];
3.Check No_Response Within[1000]ms;
Check MsgExist[0x09];</t>
  </si>
  <si>
    <t>1.Check Diag[50 03 00 32 00 C8]Within[50]ms;
2.Check Diag[68 03]Within[50]ms;
Check MsgInexist[0x09];
3.Check Diag[50 01 00  32 00 C8]Within[50]ms;
Check MsgExist[0x09];
4.Check Diag[50 03 00 32 00 C8]Within[50]ms;
5.Check Diag[68 03]Within[50]ms;
Check MsgInexist[0x09];
6.Check Diag[50 01 00  32 00 C8]Within[50]ms;
Check MsgExist[0x09];</t>
  </si>
  <si>
    <t>1.Check Diag[50 03 00 32 00 C8]Within[50]ms;
2.Check Diag[68 03]Within[50]ms;
Check MsgInexist[0x09];
3.Check Diag[7E 00]Within[50]ms;
4.Check MsgExist[0x09];
5.Check Diag[50 03 00 32 00 C8]Within[50]ms;
6.Check Diag[68 03]Within[50]ms;
Check MsgInexist[0x09];
7.Check Diag[7E 00]Within[50]ms;
8.Check MsgExist[0x09];</t>
  </si>
  <si>
    <t>1.Check Diag[50 03 00 32 00 C8]Within[50]ms;
2.Check Diag[68 03]Within[50]ms;Check MsgInexist[0x09];
3.Check Diag[51 01]Within[50]ms;
4.Check MsgExist[0x09];
5.Check Diag[50 03 00 32 00 C8]Within[50]ms;
6.Check Diag[68 03]Within[50]ms;Check 
7.Check Diag[51 01]Within[50]ms;
8.Check MsgExist[0x09];</t>
  </si>
  <si>
    <t>1.Check Diag[50 03 00 32 00 C8]Within[50]ms;
2.Check Diag[68 03]Within[50]ms;
MsgInexist[0x09];
2.Check MsgExist[0x09];
7.Check Diag[50 03 00 32 00 C8]Within[50]ms;
8.Check Diag[68 03]Within[50]ms;
MsgInexist[0x09];
8.Check MsgExist[0x09];</t>
  </si>
  <si>
    <t>1.Check Diag[50 03 00 32 00 C8]Within[50]ms;
2.Check No_Response Within[1000]ms;
Check MsgInexist[0x09];
3.Check Diag[50 01 00  32 00 C8]Within[50]ms;
Check MsgExist[0x09];
4.Check Diag[50 03 00 32 00 C8]Within[50]ms;
5.Check No_Response Within[1000]ms;
Check MsgInexist[0x09];
6.Check Diag[50 01 00  32 00 C8]Within[50]ms;
Check MsgExist[0x09];</t>
  </si>
  <si>
    <t>1.Check Diag[50 03 00 32 00 C8]Within[50]ms;
2.Check No_Response Within[1000]ms;
Check MsgInexist[0x09];
3.Check Diag[7E 00]Within[50]ms;
4.Check MsgExist[0x09];
5.Check Diag[50 03 00 32 00 C8]Within[50]ms;
6.Check No_Response Within[1000]ms;
Check MsgInexist[0x09];
7.Check Diag[7E 00]Within[50]ms;
8.Check MsgExist[0x09];</t>
  </si>
  <si>
    <t>1.Check Diag[50 03 00 32 00 C8]Within[50]ms;
2.Check No_Response Within[1000]ms;
Check MsgInexist[0x09];
3.Check Diag[51 01]Within[50]ms;
4.Check MsgExist[0x09];
5.Check Diag[50 03 00 32 00 C8]Within[50]ms;
6.Check No_Response Within[1000]ms;
Check MsgInexist[0x09];
7.Check Diag[51 01]Within[50]ms;
8.Check MsgExist[0x09];</t>
  </si>
  <si>
    <t>1.Check Diag[50 03 00 32 00 C8]Within[50]ms;
2.Check No_Response Within[1000]ms;
   MsgInexist[0x09];
6.Check MsgExist[0x09];
7.Check Diag[50 03 00 32 00 C8]Within[50]ms;
8.Check No_Response Within[1000]ms;
    MsgInexist[0x09];
12.Check MsgExist[0x09];</t>
  </si>
  <si>
    <t>1.Send DiagBy[Physical]Data[10 01];
2.Send DiagBy[Physical]Data[28 00 01];
3.Send DiagBy[Physical]Data[28 00 03];</t>
  </si>
  <si>
    <t>1.Send DiagBy[Physical]Data[10 01];
2.Send DiagBy[Physical]Data[28 03 01];
3.Send DiagBy[Physical]Data[28 03 03];</t>
  </si>
  <si>
    <t>1.Send DiagBy[Physical]Data[10 01];
2.Send DiagBy[Physical]Data[10 03];
4.Send DiagBy[Physical]Data[10 02];
5.Send DiagBy[Physical]Data[28 00 01];
6.Send DiagBy[Physical]Data[28 00 03];</t>
  </si>
  <si>
    <t>1.Send DiagBy[Physical]Data[10 01];
2.Delay[5000]ms;
3.Send DiagBy[Physical]Data[10 03];
4.Send DiagBy[Physical]Data[10 02];
5.Send DiagBy[Physical]Data[28 03 01];
6.Send DiagBy[Physical]Data[28 03 03];</t>
  </si>
  <si>
    <t>1.Send DiagBy[Physical]Data[10 03];
2.Send DiagBy[Physical]Data[28 00 01];
3.Send DiagBy[Physical]Data[28 00 03];</t>
  </si>
  <si>
    <t>1.Send DiagBy[Physical]Data[10 03];
2.Send DiagBy[Physical]Data[28 03 01];
3.Send DiagBy[Physical]Data[28 03 03];</t>
  </si>
  <si>
    <t>1.Send DiagBy[Physical]Data[10 03];
2.Send DiagBy[Physical]Data[28 01 01];
3.Send DiagBy[Physical]Data[28 01 03];</t>
  </si>
  <si>
    <t>1.Send DiagBy[Physical]Data[10 03];
2.Send DiagBy[Physical]Data[28 02 01];
3.Send DiagBy[Physical]Data[28 02 03];</t>
  </si>
  <si>
    <t xml:space="preserve">
1.Send DiagBy[Physical]Data[10 03];
2.Send DiagBy[Physical]Data[27 01]AndCheckResp[PositiveResponse];
3.Send Security Right KeyBy[Physical]Level[0x2];
4.Send DiagBy[Physical]Data[28 00 01];
</t>
  </si>
  <si>
    <t xml:space="preserve">
1.Send DiagBy[Physical]Data[10 03];
2.Send DiagBy[Physical]Data[27 01]AndCheckResp[PositiveResponse];
3.Send Security Right KeyBy[Physical]Level[0x2];
4.Send DiagBy[Physical]Data[28 00 03];
</t>
  </si>
  <si>
    <t xml:space="preserve">
1.Send DiagBy[Physical]Data[10 03];
2.Send DiagBy[Physical]Data[27 01]AndCheckResp[PositiveResponse];
3.Send Security Right KeyBy[Physical]Level[0x2];
4.Send DiagBy[Physical]Data[28 03 01];
</t>
  </si>
  <si>
    <t xml:space="preserve">
1.Send DiagBy[Physical]Data[10 03];
2.Send DiagBy[Physical]Data[27 01]AndCheckResp[PositiveResponse];
3.Send Security Right KeyBy[Physical]Level[0x2];
4.Send DiagBy[Physical]Data[28 03 02];
</t>
  </si>
  <si>
    <t xml:space="preserve">
1.Send DiagBy[Physical]Data[10 03];
2.Send DiagBy[Physical]Data[27 01]AndCheckResp[PositiveResponse];
3.Send Security Right KeyBy[Physical]Level[0x2];
4.Send DiagBy[Physical]Data[28 03 03];
</t>
  </si>
  <si>
    <t>1.Send DiagBy[Physical]Data[10 01];
2.Send DiagBy[Physical]Data[28 80 01];
3.Send DiagBy[Physical]Data[28 80 03];
4.Send DiagBy[Physical]Data[28 83 01];
5.Send DiagBy[Physical]Data[28 83 03];</t>
  </si>
  <si>
    <t>1.Send DiagBy[Physical]Data[10 03];
2.Send DiagBy[Physical]Data[28 81 01];
3.Send DiagBy[Physical]Data[28 81 03];</t>
  </si>
  <si>
    <t>1.Send DiagBy[Physical]Data[10 03];
2.Send DiagBy[Physical]Data[28 82 01];
3.Send DiagBy[Physical]Data[28 82 03];</t>
  </si>
  <si>
    <t>1.Send DiagBy[Physical]Data[10 03];
2.Send DiagBy[Physical]Data[28 80 01];</t>
  </si>
  <si>
    <t>1.Send DiagBy[Physical]Data[10 03];
2.Send DiagBy[Physical]Data[28 80 02];</t>
  </si>
  <si>
    <t>1.Send DiagBy[Physical]Data[10 03];
2.Send DiagBy[Physical]Data[28 80 03];</t>
  </si>
  <si>
    <t>1.Send DiagBy[Physical]Data[10 03];
2.Send DiagBy[Physical]Data[28 83 01];</t>
  </si>
  <si>
    <t>1.Send DiagBy[Physical]Data[10 03];
2.Send DiagBy[Physical]Data[28 83 02];</t>
  </si>
  <si>
    <t>1.Send DiagBy[Physical]Data[10 03];
2.Send DiagBy[Physical]Data[28 83 03];</t>
  </si>
  <si>
    <t xml:space="preserve">
1.Send DiagBy[Physical]Data[10 03];
2.Send DiagBy[Physical]Data[28 03 01];
3.Send DiagBy[Physical]Data[28 00 01];
</t>
  </si>
  <si>
    <t xml:space="preserve">
1.Send DiagBy[Physical]Data[10 03];
2.Send DiagBy[Physical]Data[28 03 03];
3.Send DiagBy[Physical]Data[28 00 03];
</t>
  </si>
  <si>
    <t xml:space="preserve">
1.Send DiagBy[Physical]Data[10 03];
2.Send DiagBy[Physical]Data[28 83 01];
3.Send DiagBy[Physical]Data[28 80 01];
</t>
  </si>
  <si>
    <t xml:space="preserve">
1.Send DiagBy[Physical]Data[10 03];
2.Send DiagBy[Physical]Data[28 83 03];
3.Send DiagBy[Physical]Data[28 80 03];
</t>
  </si>
  <si>
    <t xml:space="preserve">
1.Send DiagBy[Physical]Data[10 03];
2.Send DiagBy[Physical]Data[28 03 01];
3.Send DiagBy[Physical]Data[10 01];
4.Send DiagBy[Physical]Data[10 03];
5.Send DiagBy[Physical]Data[28 03 03];
6.Send DiagBy[Physical]Data[10 01];
</t>
  </si>
  <si>
    <t xml:space="preserve">
1.Send DiagBy[Physical]Data[10 03];
2.Send DiagBy[Physical]Data[28 03 01];
3.Send DiagBy[Physical]Data[3E 00];
4.Delay[5100]ms;
5.Send DiagBy[Physical]Data[10 03];
6.Send DiagBy[Physical]Data[28 03 03];
7.Send DiagBy[Physical]Data[3E 00];
8.Delay[5100]ms;</t>
  </si>
  <si>
    <t xml:space="preserve">
1.Send DiagBy[Physical]Data[10 03];
2.Send DiagBy[Physical]Data[28 03 01];
3.Send DiagBy[Physical]Data[11 01];
4.Delay[2000]ms;
5.Send DiagBy[Physical]Data[10 03];
6.Send DiagBy[Physical]Data[28 03 03];
7.Send DiagBy[Physical]Data[11 01];
8.Delay[2000]ms;</t>
  </si>
  <si>
    <t xml:space="preserve">
1.Send DiagBy[Physical]Data[10 03];
2.Send DiagBy[Physical]Data[28 03 01];
3.Set Voltage[0]V;
4.Delay[1000]ms;
5.Set Voltage[12]V;
6.Delay[1000]ms;
7.Send DiagBy[Physical]Data[10 03];
8.Send DiagBy[Physical]Data[28 03 01];
9.Set Voltage[0]V;
10.Delay[1000]ms;
11.Set Voltage[12]V;
12.Delay[1000]ms;
</t>
  </si>
  <si>
    <t xml:space="preserve">
1.Send DiagBy[Physical]Data[10 03];
2.Send 0x28SubTraversalBy[Physical]Excluding[00 03 80 83]With Parameter[0x01]AndCheckResp[0x12];
</t>
  </si>
  <si>
    <t xml:space="preserve">
1.Send DiagBy[Physical]Data[10 03];
2.Send 0x28SubTraversalBy[Physical]Excluding[00 03 80 83]With Parameter[0x03]AndCheckResp[0x12];
</t>
  </si>
  <si>
    <t xml:space="preserve">
1.Send DiagBy[Physical]Data[10 03];
2.Send 0x28ParameterTraversalBy[Physical]With Sub[0x00]Excluding[01 03]AndCheckResp[0x31];
</t>
  </si>
  <si>
    <t xml:space="preserve">
1.Send DiagBy[Physical]Data[10 03];
2.Send 0x28ParameterTraversalBy[Physical]With Sub[0x03]Excluding[01 03]AndCheckResp[0x31];
</t>
  </si>
  <si>
    <t>1.Send DiagBy[Physical]Data[10 03];
2.Send DiagBy[Physical]Data[28 03 01]WithLen[2];</t>
  </si>
  <si>
    <t>1.Send DiagBy[Physical]Data[10 03];
2.Send DiagBy[Physical]Data[28 03 01]WithLen[4];</t>
  </si>
  <si>
    <t>1.Send DiagBy[Physical]Data[10 03];
2.Send Msg[0x3C]Data[0B 02 28 02 01 FF FF FF]WithDLC[8];</t>
  </si>
  <si>
    <t>1.Send DiagBy[Physical]Data[10 01];
2.Send DiagBy[Function]Data[28 00 01];
3.Send DiagBy[Function]Data[28 00 03];</t>
  </si>
  <si>
    <t>1.Send DiagBy[Physical]Data[10 01];
2.Send DiagBy[Function]Data[28 03 01];
3.Send DiagBy[Function]Data[28 03 03];</t>
  </si>
  <si>
    <t>1.Send DiagBy[Physical]Data[10 01];
2.Send DiagBy[Physical]Data[10 03];
3.Send DiagBy[Physical]Data[31 01 02 03];
4.Send DiagBy[Physical]Data[10 02];
5.Send DiagBy[Function]Data[28 00 01];
6.Send DiagBy[Function]Data[28 00 03];</t>
  </si>
  <si>
    <t>1.Send DiagBy[Physical]Data[10 01];
2.Send DiagBy[Physical]Data[10 03];
3.Send DiagBy[Physical]Data[31 01 02 03];
4.Send DiagBy[Physical]Data[10 02];
5.Send DiagBy[Function]Data[28 03 01];
6.Send DiagBy[Function]Data[28 03 03];</t>
  </si>
  <si>
    <t>1.Send DiagBy[Physical]Data[10 03];
2.Send DiagBy[Function]Data[28 00 01];
3.Send DiagBy[Function]Data[28 00 03];</t>
  </si>
  <si>
    <t>1.Send DiagBy[Physical]Data[10 03];
2.Send DiagBy[Function]Data[28 03 01];
3.Send DiagBy[Function]Data[28 03 03];</t>
  </si>
  <si>
    <t>1.Send DiagBy[Physical]Data[10 03];
2.Send DiagBy[Function]Data[28 01 01];
3.Send DiagBy[Function]Data[28 01 03];</t>
  </si>
  <si>
    <t>1.Send DiagBy[Physical]Data[10 03];
2.Send DiagBy[Function]Data[28 02 01];
3.Send DiagBy[Function]Data[28 02 03];</t>
  </si>
  <si>
    <t xml:space="preserve">
1.Send DiagBy[Physical]Data[10 03];
2.Send DiagBy[Physical]Data[27 01]AndCheckResp[PositiveResponse];
3.Send Security Right KeyBy[Physical]Level[0x2];
4.Send DiagBy[Function]Data[28 00 01];
</t>
  </si>
  <si>
    <t xml:space="preserve">
1.Send DiagBy[Physical]Data[10 03];
2.Send DiagBy[Physical]Data[27 01]AndCheckResp[PositiveResponse];
3.Send Security Right KeyBy[Physical]Level[0x2];
4.Send DiagBy[Function]Data[28 00 03];
</t>
  </si>
  <si>
    <t xml:space="preserve">
1.Send DiagBy[Physical]Data[10 03];
2.Send DiagBy[Physical]Data[27 01]AndCheckResp[PositiveResponse];
3.Send Security Right KeyBy[Physical]Level[0x2];
4.Send DiagBy[Function]Data[28 03 01];
</t>
  </si>
  <si>
    <t xml:space="preserve">
1.Send DiagBy[Physical]Data[10 03];
2.Send DiagBy[Physical]Data[27 01]AndCheckResp[PositiveResponse];
3.Send Security Right KeyBy[Physical]Level[0x2];
4.Send DiagBy[Function]Data[28 03 02];
</t>
  </si>
  <si>
    <t xml:space="preserve">
1.Send DiagBy[Physical]Data[10 03];
2.Send DiagBy[Physical]Data[27 01]AndCheckResp[PositiveResponse];
3.Send Security Right KeyBy[Physical]Level[0x2];
4.Send DiagBy[Function]Data[28 03 03];
</t>
  </si>
  <si>
    <t>1.Send DiagBy[Physical]Data[10 01];
2.Send DiagBy[Function]Data[28 80 01];
3.Send DiagBy[Function]Data[28 80 03];
4.Send DiagBy[Function]Data[28 83 01];
5.Send DiagBy[Function]Data[28 83 03];</t>
  </si>
  <si>
    <t>1.Send DiagBy[Physical]Data[10 03];
2.Send DiagBy[Function]Data[28 81 01];
3.Send DiagBy[Function]Data[28 81 03];</t>
  </si>
  <si>
    <t>1.Send DiagBy[Physical]Data[10 03];
2.Send DiagBy[Function]Data[28 82 01];
3.Send DiagBy[Function]Data[28 82 03];</t>
  </si>
  <si>
    <t>1.Send DiagBy[Physical]Data[10 03];
2.Send DiagBy[Function]Data[28 80 01];</t>
  </si>
  <si>
    <t>1.Send DiagBy[Physical]Data[10 03];
2.Send DiagBy[Function]Data[28 80 02];</t>
  </si>
  <si>
    <t>1.Send DiagBy[Physical]Data[10 03];
2.Send DiagBy[Function]Data[28 80 03];</t>
  </si>
  <si>
    <t>1.Send DiagBy[Physical]Data[10 03];
2.Send DiagBy[Function]Data[28 83 01];</t>
  </si>
  <si>
    <t>1.Send DiagBy[Physical]Data[10 03];
2.Send DiagBy[Function]Data[28 83 02];</t>
  </si>
  <si>
    <t>1.Send DiagBy[Physical]Data[10 03];
2.Send DiagBy[Function]Data[28 83 03];</t>
  </si>
  <si>
    <t xml:space="preserve">
1.Send DiagBy[Physical]Data[10 03];
2.Send DiagBy[Function]Data[28 03 01];
3.Send DiagBy[Function]Data[28 00 01];
</t>
  </si>
  <si>
    <t xml:space="preserve">
1.Send DiagBy[Physical]Data[10 03];
2.Send DiagBy[Function]Data[28 03 03];
3.Send DiagBy[Function]Data[28 00 03];
</t>
  </si>
  <si>
    <t xml:space="preserve">
1.Send DiagBy[Physical]Data[10 03];
2.Send DiagBy[Function]Data[28 83 01];
3.Send DiagBy[Function]Data[28 80 01];
</t>
  </si>
  <si>
    <t xml:space="preserve">
1.Send DiagBy[Physical]Data[10 03];
2.Send DiagBy[Function]Data[28 83 03];
3.Send DiagBy[Function]Data[28 80 03];
</t>
  </si>
  <si>
    <t xml:space="preserve">
1.Send DiagBy[Physical]Data[10 03];
2.Send DiagBy[Function]Data[28 03 01];
3.Send DiagBy[Physical]Data[10 01];
4.Send DiagBy[Physical]Data[10 03];
5.Send DiagBy[Function]Data[28 03 03];
6.Send DiagBy[Physical]Data[10 01];
</t>
  </si>
  <si>
    <t xml:space="preserve">
1.Send DiagBy[Physical]Data[10 03];
2.Send DiagBy[Function]Data[28 03 01];
3.Send DiagBy[Physical]Data[11 01];
4.Delay[2000]ms;
5.Send DiagBy[Physical]Data[10 03];
6.Send DiagBy[Function]Data[28 03 03];
7.Send DiagBy[Physical]Data[11 01];
8.Delay[2000]ms;</t>
  </si>
  <si>
    <t xml:space="preserve">
1.Send DiagBy[Physical]Data[10 03];
2.Send DiagBy[Function]Data[28 03 01];
3.Set Voltage[0]V;
4.Delay[1000]ms;
5.Set Voltage[12]V;
6.Delay[1000]ms;
7.Send DiagBy[Physical]Data[10 03];
8.Send DiagBy[Function]Data[28 03 01];
9.Set Voltage[0]V;
10.Delay[1000]ms;
11.Set Voltage[12]V;
12.Delay[1000]ms;
</t>
  </si>
  <si>
    <t xml:space="preserve">
1.Send DiagBy[Physical]Data[10 03];
2.Send 0x28SubTraversalBy[Function]Excluding[00 03 80 83]With Parameter[0x01]AndCheckResp[NoResponse];
</t>
  </si>
  <si>
    <t xml:space="preserve">
1.Send DiagBy[Physical]Data[10 03];
2.Send 0x28SubTraversalBy[Function]Excluding[00 03 80 83]With Parameter[0x03]AndCheckResp[NoResponse];
</t>
  </si>
  <si>
    <t xml:space="preserve">
1.Send DiagBy[Physical]Data[10 03];
2.Send 0x28ParameterTraversalBy[Function]With Sub[0x00]Excluding[01 03]AndCheckResp[NoResponse];
</t>
  </si>
  <si>
    <t xml:space="preserve">
1.Send DiagBy[Physical]Data[10 03];
2.Send 0x28ParameterTraversalBy[Function]With Sub[0x03]Excluding[01 03]AndCheckResp[NoResponse];
</t>
  </si>
  <si>
    <t>1.Send DiagBy[Physical]Data[10 03];
2.Send DiagBy[Function]Data[28 03 01]WithLen[2];</t>
  </si>
  <si>
    <t>1.Send DiagBy[Physical]Data[10 03];
2.Send DiagBy[Function]Data[28 03 01]WithLen[4];</t>
  </si>
  <si>
    <t>1.Send DiagBy[Physical]Data[10 03];
2.Send Msg[0x3C]Data[7E 02 28 02 01 FF FF FF]WithDLC[8];</t>
  </si>
  <si>
    <t>1.Send DiagBy[Physical]Data[10 01];
2.Send DiagBy[Function]Data[28 00 01];
3.Send DiagBy[Function]Data[28 01 01];
4.Send DiagBy[Function]Data[28 02 01];
5.Send DiagBy[Function]Data[28 03 01];</t>
  </si>
  <si>
    <t xml:space="preserve">
1.Send DiagBy[Physical]Data[10 03];
2.Send 0x28ParameterTraversalBy[Function]With Sub[0x01]Excluding[01 03]AndCheckResp[NoResponse];
</t>
  </si>
  <si>
    <t xml:space="preserve">
1.Send DiagBy[Physical]Data[10 03];
2.Send DiagBy[Function]Data[28 03 01];
3.Send DiagBy[Physical]Data[3E 00];
4.Delay[5100]ms;
5.Send DiagBy[Physical]Data[10 03];
6.Send DiagBy[Function]Data[28 03 03];
7.Send DiagBy[Physical]Data[3E 00];
8.Delay[5100]ms;</t>
    <phoneticPr fontId="4" type="noConversion"/>
  </si>
  <si>
    <t>1.General
2.DiagnosticServices</t>
    <phoneticPr fontId="4" type="noConversion"/>
  </si>
  <si>
    <t>Default session nonsupport 0x31 service NegativeCase-$31</t>
    <phoneticPr fontId="4" type="noConversion"/>
  </si>
  <si>
    <t>Based on analysis of requirements</t>
    <phoneticPr fontId="4" type="noConversion"/>
  </si>
  <si>
    <t xml:space="preserve">
1.Power On;
</t>
    <phoneticPr fontId="4" type="noConversion"/>
  </si>
  <si>
    <t>1.Send DiagBy[Physics]Data[10 01];
2.Send DiagBy[Physics]Data[31 01 02 03];
3.Send DiagBy[Physics]Data[31 02 02 03];
4.Send DiagBy[Physics]Data[31 03 02 03];</t>
  </si>
  <si>
    <t>Programming session nonsupport 0x31 service NegativeCase-$31</t>
    <phoneticPr fontId="4" type="noConversion"/>
  </si>
  <si>
    <t>Extended Session support 0x31 service 0x01 subfunction for RID:0x0203  PositiveCase-$31</t>
    <phoneticPr fontId="4" type="noConversion"/>
  </si>
  <si>
    <t>1.Power On</t>
    <phoneticPr fontId="4" type="noConversion"/>
  </si>
  <si>
    <t>1.Send DiagBy[Physics]Data[10 01];
2.Dealy[1000]ms;
Send DiagBy[Physics]Data[10 03];
3.Send DiagBy[Physics]Data[31 01 02 03];
4.Send DiagBy[Physics]Data[31 02 02 03];
5.Send DiagBy[Physics]Data[31 03 02 03];</t>
    <phoneticPr fontId="4" type="noConversion"/>
  </si>
  <si>
    <t>Extended Session nonsupport 0x31 service for RID:0xFF00 PositiveCase-$31</t>
    <phoneticPr fontId="4" type="noConversion"/>
  </si>
  <si>
    <t>1.Send DiagBy[Physics]Data[10 03];
2.Send DiagBy[Physics]Data[31 01 FF 00];</t>
    <phoneticPr fontId="4" type="noConversion"/>
  </si>
  <si>
    <t>Extended Session nonsupport 0x31 service for RID:0xFF01 PositiveCase-$31</t>
    <phoneticPr fontId="4" type="noConversion"/>
  </si>
  <si>
    <t>1.Power On</t>
    <phoneticPr fontId="4" type="noConversion"/>
  </si>
  <si>
    <t>1.Send DiagBy[Physics]Data[10 03];
2.Send DiagBy[Physics]Data[31 01 FF 01];</t>
    <phoneticPr fontId="4" type="noConversion"/>
  </si>
  <si>
    <t>Extended Session nonsupport 0x31 service for RID:0xDD01 PositiveCase-$31</t>
    <phoneticPr fontId="4" type="noConversion"/>
  </si>
  <si>
    <t>1.Send DiagBy[Physics]Data[10 03];
2.Send DiagBy[Physics]Data[31 01 DD 01];</t>
    <phoneticPr fontId="4" type="noConversion"/>
  </si>
  <si>
    <t>Extended Session nonsupport 0x31 service for RID:0xDD02 PositiveCase-$31</t>
    <phoneticPr fontId="4" type="noConversion"/>
  </si>
  <si>
    <t>1.Send DiagBy[Physics]Data[10 03];
2.Send DiagBy[Physics]Data[31 01 DD 02];</t>
    <phoneticPr fontId="4" type="noConversion"/>
  </si>
  <si>
    <t>Extended Session nonsupport 0x31 service for RID:0xDD03 PositiveCase-$31</t>
    <phoneticPr fontId="4" type="noConversion"/>
  </si>
  <si>
    <t>1.Power On</t>
    <phoneticPr fontId="4" type="noConversion"/>
  </si>
  <si>
    <t>1.Send DiagBy[Physics]Data[10 03];
2.Send DiagBy[Physics]Data[31 01 DD 03];</t>
    <phoneticPr fontId="4" type="noConversion"/>
  </si>
  <si>
    <t>1.General
2.DiagnosticServices</t>
    <phoneticPr fontId="4" type="noConversion"/>
  </si>
  <si>
    <t>Extended Session nonsupport 0x31 service for RID:0xDD04 PositiveCase-$31</t>
    <phoneticPr fontId="4" type="noConversion"/>
  </si>
  <si>
    <t>Based on analysis of requirements</t>
    <phoneticPr fontId="4" type="noConversion"/>
  </si>
  <si>
    <t>1.Send DiagBy[Physics]Data[10 03];
2.Send DiagBy[Physics]Data[31 01 DD 04];</t>
    <phoneticPr fontId="4" type="noConversion"/>
  </si>
  <si>
    <t>Extended Session nonsupport 0x31 service for RID:0xDD0F PositiveCase-$31</t>
    <phoneticPr fontId="4" type="noConversion"/>
  </si>
  <si>
    <t>1.Send DiagBy[Physics]Data[10 03];
2.Send DiagBy[Physics]Data[31 01 DD 0F];</t>
    <phoneticPr fontId="4" type="noConversion"/>
  </si>
  <si>
    <t>Power supply voltage:12V, RID: 0x0203 feedback positive response PositiveCase-$31</t>
    <phoneticPr fontId="4" type="noConversion"/>
  </si>
  <si>
    <t>Boundary value</t>
    <phoneticPr fontId="4" type="noConversion"/>
  </si>
  <si>
    <t>1.Send DiagBy[Physics]Data[10 03];
2.Set Voltage[12]V;
3.Delay[1000]ms;
4.Send DiagBy[Physics]Data[31 01 02 03];</t>
    <phoneticPr fontId="4" type="noConversion"/>
  </si>
  <si>
    <t>Power supply voltage:8.5V, RID: 0x0203 feedback Negative response NegativeCase-$31</t>
    <phoneticPr fontId="4" type="noConversion"/>
  </si>
  <si>
    <t>Boundary value</t>
    <phoneticPr fontId="4" type="noConversion"/>
  </si>
  <si>
    <t>1.Send DiagBy[Physics]Data[10 03];
2.Set Voltage[8.5]V;
3.Delay[1000]ms;
4.Send DiagBy[Physics]Data[31 01 02 03];</t>
    <phoneticPr fontId="4" type="noConversion"/>
  </si>
  <si>
    <t>Power supply voltage:16.5V, RID: 0x0203 feedback Negative response NegativeCase-$31</t>
    <phoneticPr fontId="4" type="noConversion"/>
  </si>
  <si>
    <t>1.Send DiagBy[Physics]Data[10 03];
2.Set Voltage[16.5]V;
3.Delay[1000]ms;
4.Send DiagBy[Physics]Data[31 01 02 03];
5.Set Voltage[12]V;</t>
    <phoneticPr fontId="4" type="noConversion"/>
  </si>
  <si>
    <t>1.General
2.DiagnosticServices</t>
    <phoneticPr fontId="4" type="noConversion"/>
  </si>
  <si>
    <t>Security access L2 unlock supports jumping to Default Session PositiveCase-$31</t>
    <phoneticPr fontId="4" type="noConversion"/>
  </si>
  <si>
    <t xml:space="preserve">
1.Send DiagBy[Physics]Data[10 03];
2.Send DiagBy[Physics]Data[27 01]AndCheckResp[PositiveResponse];
3.Send Security Right KeyBy[Physics]Level[0x2];
4.Send DiagBy[Physics]Data[31 01 02 03];
</t>
    <phoneticPr fontId="4" type="noConversion"/>
  </si>
  <si>
    <t>Extended Session nonsupport service 0x31 with SPRMIB NegativeCase-$31</t>
    <phoneticPr fontId="4" type="noConversion"/>
  </si>
  <si>
    <t>1.Send DiagBy[Physis]Data[10 03];
2.Send DiagBy[Physis]Data[31 81 02 03];</t>
    <phoneticPr fontId="4" type="noConversion"/>
  </si>
  <si>
    <t>1.4 NRC Test</t>
    <phoneticPr fontId="4" type="noConversion"/>
  </si>
  <si>
    <t>Valid SF_DL=4, invalid SF_DL &gt; 4, and those with invalid equivalence class SF_DL=5  NegativeCase-$31</t>
    <phoneticPr fontId="4" type="noConversion"/>
  </si>
  <si>
    <t>1.Send DiagBy[Physis]Data[10 03];
2.Send DiagBy[Physics]Data[31 01 02 03]WithLen[5];</t>
    <phoneticPr fontId="4" type="noConversion"/>
  </si>
  <si>
    <t>Valid SF_DL=4, invalid SF_DL &lt; 4, and those with invalid equivalence class SF_DL=3 NegativeCase-$31</t>
    <phoneticPr fontId="4" type="noConversion"/>
  </si>
  <si>
    <t>boundary values</t>
    <phoneticPr fontId="4" type="noConversion"/>
  </si>
  <si>
    <t>1.Send DiagBy[Physis]Data[10 03];
2.Send DiagBy[Physics]Data[31 01 02 03]WithLen[3];</t>
    <phoneticPr fontId="4" type="noConversion"/>
  </si>
  <si>
    <t>2.Application Service_Functional  Addressing</t>
    <phoneticPr fontId="4" type="noConversion"/>
  </si>
  <si>
    <t>0x28 service nonsupport function addressing NegativeCase-$31</t>
    <phoneticPr fontId="4" type="noConversion"/>
  </si>
  <si>
    <t>1.Send DiagBy[Physis]Data[10 03];
2.Send DiagBy[Function]Data[31 01 02 03];</t>
    <phoneticPr fontId="4" type="noConversion"/>
  </si>
  <si>
    <t>3.Boot Service_Physical Addressing</t>
    <phoneticPr fontId="4" type="noConversion"/>
  </si>
  <si>
    <t>1.General
2.DiagnosticServices</t>
    <phoneticPr fontId="4" type="noConversion"/>
  </si>
  <si>
    <t>Default session nonsupport 0x31 service NegativeCase-$31</t>
    <phoneticPr fontId="4" type="noConversion"/>
  </si>
  <si>
    <t>Extended Session support 0x31 service 0x01 subfunction for RID:0x0203  PositiveCase-$31</t>
    <phoneticPr fontId="4" type="noConversion"/>
  </si>
  <si>
    <t>Based on analysis of requirements</t>
    <phoneticPr fontId="4" type="noConversion"/>
  </si>
  <si>
    <t xml:space="preserve">
1.Power On;
</t>
    <phoneticPr fontId="4" type="noConversion"/>
  </si>
  <si>
    <t>1.Power On</t>
    <phoneticPr fontId="4" type="noConversion"/>
  </si>
  <si>
    <t>1.2 SPRMIB Test</t>
    <phoneticPr fontId="4" type="noConversion"/>
  </si>
  <si>
    <t>Extended Session nonsupport service 0x31 with SPRMIB NegativeCase-$31</t>
    <phoneticPr fontId="4" type="noConversion"/>
  </si>
  <si>
    <t>1.Send DiagBy[Physis]Data[10 02];
2.Send DiagBy[Physics]Data[27 11]AndCheckResp[PositiveResponse];
3.Send Security Right KeyBy[Physics]Level[0x12];
4.Send DiagBy[Physis]Data[31 81 02 03];</t>
    <phoneticPr fontId="4" type="noConversion"/>
  </si>
  <si>
    <t>1.3 NRC Test</t>
    <phoneticPr fontId="4" type="noConversion"/>
  </si>
  <si>
    <t>1.Send DiagBy[Physis]Data[10 02];
2.Send DiagBy[Physics]Data[31 01 02 03]WithLen[5];</t>
    <phoneticPr fontId="4" type="noConversion"/>
  </si>
  <si>
    <t>Design service 31 RID 0x0203 to meet the forward use case for 9V &lt; voltage &lt; 16V</t>
    <phoneticPr fontId="4" type="noConversion"/>
  </si>
  <si>
    <t>0x28 service nonsupport function addressing NegativeCase-$31</t>
    <phoneticPr fontId="4" type="noConversion"/>
  </si>
  <si>
    <t>1.Send DiagBy[Physis]Data[10 02];
2.Send DiagBy[Function]Data[31 01 FF 01];</t>
    <phoneticPr fontId="4" type="noConversion"/>
  </si>
  <si>
    <t>陈亚-80025578</t>
    <phoneticPr fontId="4" type="noConversion"/>
  </si>
  <si>
    <t>1.Send DiagBy[Physics]Data[10 03];
3.Send DiagBy[Physics]Data[10 02];
4.Send DiagBy[Physics]Data[31 01 02 03];
5.Send DiagBy[Physics]Data[31 02 02 03];
6.Send DiagBy[Physics]Data[31 03 02 03];</t>
    <phoneticPr fontId="4" type="noConversion"/>
  </si>
  <si>
    <t>1.Check DiagData[50 03 00 32 00 C8]Within[50]ms;
2.Check DiagData[7F 31 31]Within[50]ms;</t>
  </si>
  <si>
    <t>1.Check DiagData[50 03 00 32 00 C8]Within[50]ms;
4.Check DiagData[71 01 02 03 00]Within[50]ms;</t>
  </si>
  <si>
    <t>1.Check DiagData[50 03 00 32 00 C8]Within[50]ms;
2.Check DiagData[7F 31 13]Within[50]ms;</t>
  </si>
  <si>
    <t>1.Check DiagData[50 03 00 32 00 C8]Within[50]ms;
2.Check No_Response Within[1000]ms;</t>
  </si>
  <si>
    <t>1.Check DiagData[50 01 00 32 00 C8]Within[50]ms;
2.Check DiagData[7F 31 7F]Within[50]ms;
3.Check DiagData[7F 31 7F]Within[50]ms;
4.Check DiagData[7F 31 7F]Within[50]ms;</t>
  </si>
  <si>
    <t>1.Check DiagData[50 02 00 32 00 C8]Within[50]ms;
2.Check DiagData[7F 31 31]Within[50]ms;</t>
  </si>
  <si>
    <t>1.Check DiagData[50 02 00 32 00 C8]Within[50]ms;
2.Check DiagData[7F 31 13]Within[50]ms;</t>
  </si>
  <si>
    <t>1.Check DiagData[50 02 00 32 00 C8]Within[50]ms;
2.Check No_Response Within[1000]ms;</t>
  </si>
  <si>
    <t>1.Check DiagData[50 03 00 32 00 C8]Within[50]ms;
3.Check DiagData[50 02 00 32 00 C8]Within[50]ms;
4.Check DiagData[7F 31 31]Within[50]ms;
5.Check DiagData[7F 31  31]Within[50]ms;
6.Check DiagData[7F 31  31]Within[50]ms;</t>
    <phoneticPr fontId="4" type="noConversion"/>
  </si>
  <si>
    <t>1.Check DiagData[50 01 00 32 00 C8]Within[50]ms;
2.Check DiagData[50 03 00 32 00 C8]Within[50]ms;
3.Check DiagData[7F 31  31]Within[50]ms;
4.Check DiagData[7F 31  31]Within[50]ms;
5.Check DiagData[7F 31  31]Within[50]ms;</t>
    <phoneticPr fontId="4" type="noConversion"/>
  </si>
  <si>
    <t>1.Check DiagData[50 03 00 32 00 C8]Within[50]ms;
4.Check DiagData[7F 31  31]Within[50]ms;</t>
    <phoneticPr fontId="4" type="noConversion"/>
  </si>
  <si>
    <t>1.Check DiagData[50 03 00 32 00 C8]Within[50]ms;
4.Check DiagData[7F 31  31]Within[50]ms;</t>
    <phoneticPr fontId="4" type="noConversion"/>
  </si>
  <si>
    <t>1.Check DiagData[50 03 00 32 00 C8]Within[50]ms;
2.Check DiagData[7F 31 13]Within[50]ms;</t>
    <phoneticPr fontId="4" type="noConversion"/>
  </si>
  <si>
    <t>1.Check DiagData[50 03 00 32 00 C8]Within[50]ms;
2.Check DiagData[7F 31 12]Within[50]ms;</t>
    <phoneticPr fontId="4" type="noConversion"/>
  </si>
  <si>
    <t>1.Check DiagData[50 03 00 32 00 C8]Within[50]ms;
3.Check DiagData[67 02]Within[50]ms;
4.Check DiagData[7F 31  31]Within[50]ms;</t>
    <phoneticPr fontId="4" type="noConversion"/>
  </si>
  <si>
    <t>1.Send DiagBy[Physics]Data[10 03];
3.Send DiagBy[Physics]Data[10 02];
4.Send DiagBy[Physics]Data[31 01 02 03];
5.Send DiagBy[Physics]Data[31 02 02 03];
6.Send DiagBy[Physics]Data[31 03 02 03];</t>
    <phoneticPr fontId="4" type="noConversion"/>
  </si>
  <si>
    <t>1.Send DiagBy[Physics]Data[10 03];
3.Send DiagBy[Physics]Data[10 02];
4.Send DiagBy[Physics]Data[31 01 DF FE];</t>
    <phoneticPr fontId="4" type="noConversion"/>
  </si>
  <si>
    <t>1.Check DiagData[50 03 00 32 00 C8]Within[50]ms;
3.Check DiagData[50 02 00 32 00 C8]Within[50]ms;
4.Check DiagData[71 01 DF FE 00]Within[50]ms;</t>
    <phoneticPr fontId="4" type="noConversion"/>
  </si>
  <si>
    <t>1.Send DiagBy[Physics]Data[10 03];
3.Send DiagBy[Physics]Data[10 02];
4.Send DiagBy[Physics]Data[31 01 DF FF];</t>
    <phoneticPr fontId="4" type="noConversion"/>
  </si>
  <si>
    <t>1.Check DiagData[50 03 00 32 00 C8]Within[50]ms;
3.Check DiagData[50 02 00 32 00 C8]Within[50]ms;
4.Check DiagData[71 01 DF FF 00]Within[50]ms;</t>
    <phoneticPr fontId="4" type="noConversion"/>
  </si>
  <si>
    <t>Power supply voltage:16.5V, RID: 0xDFFE feedback Negative response NegativeCase-$31</t>
    <phoneticPr fontId="4" type="noConversion"/>
  </si>
  <si>
    <t>Power supply voltage:16.5V, RID: 0xDFFF feedback Negative response NegativeCase-$31</t>
    <phoneticPr fontId="4" type="noConversion"/>
  </si>
  <si>
    <t>1.Send DiagBy[Physis]Data[10 02];
2.Send DiagBy[Physics]Data[31 01 DF FE]WithLen[2];</t>
    <phoneticPr fontId="4" type="noConversion"/>
  </si>
  <si>
    <t>1.Check DiagData[50 02 00 32 00 C8]Within[50]ms;
3.Check DiagData[67 12]Within[50]ms;
4.Check DiagData[7F 31 12]Within[50]ms;</t>
    <phoneticPr fontId="4" type="noConversion"/>
  </si>
  <si>
    <t>需求覆盖</t>
    <phoneticPr fontId="4" type="noConversion"/>
  </si>
  <si>
    <r>
      <t xml:space="preserve">通过率
</t>
    </r>
    <r>
      <rPr>
        <b/>
        <sz val="8"/>
        <color theme="1"/>
        <rFont val="宋体"/>
        <family val="3"/>
        <charset val="134"/>
      </rPr>
      <t>用例编写格式</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</si>
</sst>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804]General"/>
  </numFmts>
  <fonts count="26" x14ac:knownFonts="1">
    <font>
      <sz val="11"/>
      <color theme="1"/>
      <name val="宋体"/>
      <family val="2"/>
      <scheme val="minor"/>
    </font>
    <font>
      <b/>
      <sz val="10"/>
      <color rgb="FFFFFFFF"/>
      <name val="宋体"/>
      <family val="3"/>
      <charset val="134"/>
    </font>
    <font>
      <b/>
      <sz val="10"/>
      <name val="宋体"/>
      <family val="3"/>
      <charset val="134"/>
    </font>
    <font>
      <sz val="10"/>
      <name val="宋体"/>
      <family val="3"/>
      <charset val="134"/>
    </font>
    <font>
      <sz val="9"/>
      <name val="宋体"/>
      <family val="3"/>
      <charset val="134"/>
      <scheme val="minor"/>
    </font>
    <font>
      <sz val="12"/>
      <color theme="1"/>
      <name val="宋体"/>
      <family val="2"/>
      <charset val="134"/>
      <scheme val="minor"/>
    </font>
    <font>
      <sz val="10"/>
      <color rgb="FF000000"/>
      <name val="Times New Roman"/>
      <family val="1"/>
    </font>
    <font>
      <sz val="11"/>
      <color theme="1"/>
      <name val="宋体"/>
      <family val="3"/>
      <charset val="134"/>
      <scheme val="minor"/>
    </font>
    <font>
      <sz val="12"/>
      <color theme="1"/>
      <name val="宋体"/>
      <family val="3"/>
      <charset val="134"/>
    </font>
    <font>
      <sz val="10"/>
      <color theme="1"/>
      <name val="Arial"/>
      <family val="2"/>
      <charset val="134"/>
    </font>
    <font>
      <b/>
      <sz val="12"/>
      <color theme="1"/>
      <name val="宋体"/>
      <family val="3"/>
      <charset val="134"/>
    </font>
    <font>
      <b/>
      <sz val="12"/>
      <color theme="1"/>
      <name val="Times New Roman"/>
      <family val="1"/>
    </font>
    <font>
      <sz val="9"/>
      <name val="Arial"/>
      <family val="2"/>
      <charset val="134"/>
    </font>
    <font>
      <b/>
      <sz val="10"/>
      <color theme="1"/>
      <name val="Times New Roman"/>
      <family val="1"/>
    </font>
    <font>
      <sz val="12"/>
      <color theme="1"/>
      <name val="Times New Roman"/>
      <family val="1"/>
    </font>
    <font>
      <sz val="12"/>
      <color rgb="FFFF0000"/>
      <name val="Times New Roman"/>
      <family val="1"/>
    </font>
    <font>
      <sz val="10"/>
      <name val="微软雅黑"/>
      <family val="2"/>
      <charset val="134"/>
    </font>
    <font>
      <sz val="12"/>
      <color rgb="FFFF0000"/>
      <name val="宋体"/>
      <family val="3"/>
      <charset val="134"/>
    </font>
    <font>
      <sz val="10"/>
      <name val="Times New Roman"/>
      <family val="1"/>
    </font>
    <font>
      <b/>
      <sz val="10"/>
      <color rgb="FFFF0000"/>
      <name val="宋体"/>
      <family val="3"/>
      <charset val="134"/>
    </font>
    <font>
      <sz val="12"/>
      <name val="宋体"/>
      <family val="3"/>
      <charset val="134"/>
    </font>
    <font>
      <b/>
      <sz val="10"/>
      <name val="Times New Roman"/>
      <family val="1"/>
    </font>
    <font>
      <sz val="10"/>
      <color rgb="FF000000"/>
      <name val="宋体"/>
      <family val="3"/>
      <charset val="134"/>
    </font>
    <font>
      <sz val="11"/>
      <color rgb="FF000000"/>
      <name val="Times New Roman"/>
      <family val="1"/>
    </font>
    <font>
      <b/>
      <sz val="11"/>
      <color rgb="FFFF0000"/>
      <name val="Times New Roman"/>
      <family val="1"/>
    </font>
    <font>
      <b/>
      <sz val="8"/>
      <color theme="1"/>
      <name val="宋体"/>
      <family val="3"/>
      <charset val="134"/>
    </font>
  </fonts>
  <fills count="6">
    <fill>
      <patternFill patternType="none"/>
    </fill>
    <fill>
      <patternFill patternType="gray125"/>
    </fill>
    <fill>
      <patternFill patternType="solid">
        <fgColor rgb="FF4472C4"/>
        <bgColor rgb="FF4472C4"/>
      </patternFill>
    </fill>
    <fill>
      <patternFill patternType="solid">
        <fgColor rgb="FFD9E2F3"/>
        <bgColor rgb="FFD9E2F3"/>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indexed="64"/>
      </left>
      <right/>
      <top style="thin">
        <color indexed="64"/>
      </top>
      <bottom/>
      <diagonal/>
    </border>
    <border>
      <left/>
      <right/>
      <top style="thin">
        <color auto="1"/>
      </top>
      <bottom/>
      <diagonal/>
    </border>
    <border>
      <left/>
      <right style="thin">
        <color indexed="64"/>
      </right>
      <top/>
      <bottom/>
      <diagonal/>
    </border>
    <border>
      <left style="thin">
        <color indexed="64"/>
      </left>
      <right/>
      <top/>
      <bottom/>
      <diagonal/>
    </border>
    <border diagonalDown="1">
      <left style="thin">
        <color indexed="64"/>
      </left>
      <right style="thin">
        <color indexed="64"/>
      </right>
      <top/>
      <bottom/>
      <diagonal style="thin">
        <color indexed="64"/>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s>
  <cellStyleXfs count="5">
    <xf numFmtId="176" fontId="0" fillId="0" borderId="0"/>
    <xf numFmtId="176" fontId="5" fillId="0" borderId="0">
      <alignment vertical="center"/>
    </xf>
    <xf numFmtId="176" fontId="7" fillId="0" borderId="0">
      <alignment vertical="center"/>
    </xf>
    <xf numFmtId="176" fontId="9" fillId="0" borderId="0">
      <alignment vertical="center"/>
    </xf>
    <xf numFmtId="176" fontId="20" fillId="0" borderId="0">
      <alignment vertical="center"/>
    </xf>
  </cellStyleXfs>
  <cellXfs count="164">
    <xf numFmtId="176" fontId="0" fillId="0" borderId="0" xfId="0"/>
    <xf numFmtId="176" fontId="1" fillId="2" borderId="1" xfId="0" applyFont="1" applyFill="1" applyBorder="1"/>
    <xf numFmtId="176" fontId="1" fillId="2" borderId="1" xfId="0" applyFont="1" applyFill="1" applyBorder="1" applyAlignment="1">
      <alignment horizontal="center"/>
    </xf>
    <xf numFmtId="176" fontId="2" fillId="3" borderId="1" xfId="0" applyFont="1" applyFill="1" applyBorder="1" applyAlignment="1">
      <alignment vertical="center"/>
    </xf>
    <xf numFmtId="176" fontId="3" fillId="0" borderId="1" xfId="0" applyFont="1" applyBorder="1" applyAlignment="1">
      <alignment horizontal="center" vertical="top"/>
    </xf>
    <xf numFmtId="176" fontId="3" fillId="0" borderId="1" xfId="0" applyFont="1" applyBorder="1" applyAlignment="1">
      <alignment vertical="top" wrapText="1"/>
    </xf>
    <xf numFmtId="176" fontId="2" fillId="3" borderId="1" xfId="0" applyFont="1" applyFill="1" applyBorder="1" applyAlignment="1">
      <alignment vertical="center"/>
    </xf>
    <xf numFmtId="176" fontId="0" fillId="0" borderId="0" xfId="0"/>
    <xf numFmtId="176" fontId="1" fillId="2" borderId="1" xfId="0" applyFont="1" applyFill="1" applyBorder="1"/>
    <xf numFmtId="176" fontId="6" fillId="0" borderId="2" xfId="1" applyNumberFormat="1" applyFont="1" applyBorder="1" applyAlignment="1" applyProtection="1">
      <alignment horizontal="center" vertical="center" wrapText="1"/>
    </xf>
    <xf numFmtId="176" fontId="6" fillId="0" borderId="3" xfId="1" applyNumberFormat="1" applyFont="1" applyBorder="1" applyAlignment="1" applyProtection="1">
      <alignment horizontal="center" vertical="center" wrapText="1"/>
    </xf>
    <xf numFmtId="176" fontId="3" fillId="0" borderId="4" xfId="0" applyFont="1" applyFill="1" applyBorder="1" applyAlignment="1">
      <alignment vertical="top" wrapText="1"/>
    </xf>
    <xf numFmtId="176" fontId="8" fillId="4" borderId="5" xfId="2" applyFont="1" applyFill="1" applyBorder="1" applyAlignment="1">
      <alignment horizontal="center" vertical="center"/>
    </xf>
    <xf numFmtId="176" fontId="8" fillId="4" borderId="6" xfId="2" applyFont="1" applyFill="1" applyBorder="1">
      <alignment vertical="center"/>
    </xf>
    <xf numFmtId="176" fontId="8" fillId="4" borderId="6" xfId="2" applyFont="1" applyFill="1" applyBorder="1" applyAlignment="1">
      <alignment horizontal="center" vertical="center"/>
    </xf>
    <xf numFmtId="176" fontId="8" fillId="4" borderId="6" xfId="3" applyFont="1" applyFill="1" applyBorder="1" applyAlignment="1">
      <alignment horizontal="center" vertical="center"/>
    </xf>
    <xf numFmtId="176" fontId="8" fillId="4" borderId="7" xfId="3" applyFont="1" applyFill="1" applyBorder="1" applyAlignment="1">
      <alignment vertical="center"/>
    </xf>
    <xf numFmtId="176" fontId="8" fillId="4" borderId="0" xfId="3" applyFont="1" applyFill="1">
      <alignment vertical="center"/>
    </xf>
    <xf numFmtId="176" fontId="10" fillId="4" borderId="8" xfId="3" applyFont="1" applyFill="1" applyBorder="1">
      <alignment vertical="center"/>
    </xf>
    <xf numFmtId="176" fontId="10" fillId="4" borderId="0" xfId="3" applyFont="1" applyFill="1">
      <alignment vertical="center"/>
    </xf>
    <xf numFmtId="176" fontId="11" fillId="4" borderId="4" xfId="3" applyFont="1" applyFill="1" applyBorder="1" applyAlignment="1">
      <alignment horizontal="center" vertical="center" wrapText="1"/>
    </xf>
    <xf numFmtId="176" fontId="13" fillId="4" borderId="9" xfId="3" applyFont="1" applyFill="1" applyBorder="1" applyAlignment="1">
      <alignment horizontal="left" vertical="center" wrapText="1"/>
    </xf>
    <xf numFmtId="176" fontId="11" fillId="4" borderId="4" xfId="3" applyFont="1" applyFill="1" applyBorder="1" applyAlignment="1">
      <alignment horizontal="center" vertical="center"/>
    </xf>
    <xf numFmtId="176" fontId="10" fillId="4" borderId="4" xfId="3" applyFont="1" applyFill="1" applyBorder="1" applyAlignment="1">
      <alignment horizontal="center" vertical="center"/>
    </xf>
    <xf numFmtId="176" fontId="10" fillId="4" borderId="10" xfId="3" applyFont="1" applyFill="1" applyBorder="1" applyAlignment="1">
      <alignment horizontal="center" vertical="center"/>
    </xf>
    <xf numFmtId="176" fontId="8" fillId="4" borderId="8" xfId="3" applyFont="1" applyFill="1" applyBorder="1">
      <alignment vertical="center"/>
    </xf>
    <xf numFmtId="176" fontId="14" fillId="4" borderId="1" xfId="3" applyFont="1" applyFill="1" applyBorder="1">
      <alignment vertical="center"/>
    </xf>
    <xf numFmtId="176" fontId="14" fillId="4" borderId="1" xfId="3" applyFont="1" applyFill="1" applyBorder="1" applyAlignment="1">
      <alignment horizontal="center" vertical="center"/>
    </xf>
    <xf numFmtId="176" fontId="14" fillId="4" borderId="11" xfId="3" applyFont="1" applyFill="1" applyBorder="1" applyAlignment="1">
      <alignment horizontal="center" vertical="center"/>
    </xf>
    <xf numFmtId="10" fontId="14" fillId="4" borderId="11" xfId="3" applyNumberFormat="1" applyFont="1" applyFill="1" applyBorder="1" applyAlignment="1">
      <alignment horizontal="center" vertical="center"/>
    </xf>
    <xf numFmtId="176" fontId="11" fillId="4" borderId="1" xfId="3" applyFont="1" applyFill="1" applyBorder="1" applyAlignment="1">
      <alignment horizontal="center" vertical="center"/>
    </xf>
    <xf numFmtId="176" fontId="11" fillId="4" borderId="0" xfId="3" applyFont="1" applyFill="1" applyAlignment="1">
      <alignment horizontal="center" vertical="center"/>
    </xf>
    <xf numFmtId="176" fontId="14" fillId="4" borderId="0" xfId="3" applyFont="1" applyFill="1" applyAlignment="1">
      <alignment horizontal="center" vertical="center"/>
    </xf>
    <xf numFmtId="176" fontId="14" fillId="4" borderId="0" xfId="3" applyFont="1" applyFill="1" applyBorder="1" applyAlignment="1">
      <alignment horizontal="center" vertical="center"/>
    </xf>
    <xf numFmtId="176" fontId="14" fillId="4" borderId="0" xfId="3" applyFont="1" applyFill="1" applyAlignment="1">
      <alignment horizontal="right" vertical="center"/>
    </xf>
    <xf numFmtId="176" fontId="14" fillId="4" borderId="12" xfId="3" applyFont="1" applyFill="1" applyBorder="1" applyAlignment="1">
      <alignment horizontal="center" vertical="center"/>
    </xf>
    <xf numFmtId="176" fontId="14" fillId="4" borderId="13" xfId="3" applyFont="1" applyFill="1" applyBorder="1" applyAlignment="1">
      <alignment horizontal="center" vertical="center"/>
    </xf>
    <xf numFmtId="14" fontId="14" fillId="4" borderId="13" xfId="3" applyNumberFormat="1" applyFont="1" applyFill="1" applyBorder="1" applyAlignment="1">
      <alignment horizontal="center" vertical="center"/>
    </xf>
    <xf numFmtId="176" fontId="8" fillId="4" borderId="13" xfId="3" applyFont="1" applyFill="1" applyBorder="1" applyAlignment="1">
      <alignment horizontal="center" vertical="center"/>
    </xf>
    <xf numFmtId="176" fontId="8" fillId="4" borderId="0" xfId="3" applyFont="1" applyFill="1" applyAlignment="1">
      <alignment horizontal="right" vertical="center"/>
    </xf>
    <xf numFmtId="176" fontId="8" fillId="4" borderId="0" xfId="3" applyFont="1" applyFill="1" applyAlignment="1">
      <alignment horizontal="center" vertical="center"/>
    </xf>
    <xf numFmtId="176" fontId="8" fillId="4" borderId="0" xfId="3" applyFont="1" applyFill="1" applyBorder="1" applyAlignment="1">
      <alignment horizontal="center" vertical="center"/>
    </xf>
    <xf numFmtId="176" fontId="14" fillId="4" borderId="0" xfId="3" applyFont="1" applyFill="1">
      <alignment vertical="center"/>
    </xf>
    <xf numFmtId="176" fontId="8" fillId="4" borderId="15" xfId="3" applyFont="1" applyFill="1" applyBorder="1">
      <alignment vertical="center"/>
    </xf>
    <xf numFmtId="176" fontId="8" fillId="4" borderId="12" xfId="3" applyFont="1" applyFill="1" applyBorder="1" applyAlignment="1">
      <alignment horizontal="center" vertical="center"/>
    </xf>
    <xf numFmtId="176" fontId="8" fillId="4" borderId="16" xfId="3" applyFont="1" applyFill="1" applyBorder="1" applyAlignment="1">
      <alignment vertical="center"/>
    </xf>
    <xf numFmtId="176" fontId="16" fillId="0" borderId="11" xfId="0" applyFont="1" applyFill="1" applyBorder="1" applyAlignment="1">
      <alignment horizontal="center" vertical="center" wrapText="1"/>
    </xf>
    <xf numFmtId="10" fontId="14" fillId="4" borderId="1" xfId="3" applyNumberFormat="1" applyFont="1" applyFill="1" applyBorder="1" applyAlignment="1">
      <alignment horizontal="center" vertical="center"/>
    </xf>
    <xf numFmtId="176" fontId="15" fillId="4" borderId="0" xfId="3" applyFont="1" applyFill="1" applyAlignment="1">
      <alignment horizontal="center" vertical="center"/>
    </xf>
    <xf numFmtId="176" fontId="0" fillId="0" borderId="0" xfId="0"/>
    <xf numFmtId="176" fontId="1" fillId="2" borderId="1" xfId="0" applyFont="1" applyFill="1" applyBorder="1"/>
    <xf numFmtId="176" fontId="6" fillId="0" borderId="1" xfId="1" applyNumberFormat="1" applyFont="1" applyBorder="1" applyAlignment="1" applyProtection="1">
      <alignment horizontal="left" vertical="center" wrapText="1"/>
    </xf>
    <xf numFmtId="176" fontId="18" fillId="0" borderId="1" xfId="1" applyNumberFormat="1" applyFont="1" applyBorder="1" applyAlignment="1" applyProtection="1">
      <alignment vertical="center" wrapText="1"/>
    </xf>
    <xf numFmtId="176" fontId="6" fillId="0" borderId="1" xfId="1" applyNumberFormat="1" applyFont="1" applyBorder="1" applyAlignment="1" applyProtection="1">
      <alignment horizontal="center" vertical="center" wrapText="1"/>
    </xf>
    <xf numFmtId="176" fontId="6" fillId="0" borderId="1" xfId="1" applyNumberFormat="1" applyFont="1" applyBorder="1" applyAlignment="1" applyProtection="1">
      <alignment horizontal="center" vertical="center"/>
    </xf>
    <xf numFmtId="176" fontId="18" fillId="0" borderId="1" xfId="0" applyFont="1" applyBorder="1" applyAlignment="1">
      <alignment horizontal="left" vertical="center" wrapText="1"/>
    </xf>
    <xf numFmtId="176" fontId="6" fillId="0" borderId="2" xfId="1" applyNumberFormat="1" applyFont="1" applyBorder="1" applyAlignment="1" applyProtection="1">
      <alignment horizontal="center" vertical="center"/>
    </xf>
    <xf numFmtId="176" fontId="6" fillId="0" borderId="2" xfId="1" applyNumberFormat="1" applyFont="1" applyBorder="1" applyAlignment="1" applyProtection="1">
      <alignment horizontal="left" vertical="center" wrapText="1"/>
    </xf>
    <xf numFmtId="176" fontId="6" fillId="0" borderId="17" xfId="1" applyNumberFormat="1" applyFont="1" applyBorder="1" applyAlignment="1" applyProtection="1">
      <alignment horizontal="center" vertical="center"/>
    </xf>
    <xf numFmtId="176" fontId="18" fillId="0" borderId="17" xfId="0" applyFont="1" applyBorder="1" applyAlignment="1">
      <alignment horizontal="left" vertical="center" wrapText="1"/>
    </xf>
    <xf numFmtId="176" fontId="18" fillId="0" borderId="3" xfId="1" applyNumberFormat="1" applyFont="1" applyFill="1" applyBorder="1" applyAlignment="1" applyProtection="1">
      <alignment horizontal="left" vertical="center" wrapText="1"/>
    </xf>
    <xf numFmtId="176" fontId="18" fillId="0" borderId="2" xfId="1" applyNumberFormat="1" applyFont="1" applyFill="1" applyBorder="1" applyAlignment="1" applyProtection="1">
      <alignment vertical="center" wrapText="1"/>
    </xf>
    <xf numFmtId="176" fontId="6" fillId="0" borderId="18" xfId="1" applyNumberFormat="1" applyFont="1" applyBorder="1" applyAlignment="1" applyProtection="1">
      <alignment horizontal="center" vertical="center" wrapText="1"/>
    </xf>
    <xf numFmtId="176" fontId="6" fillId="0" borderId="2" xfId="1" applyNumberFormat="1" applyFont="1" applyFill="1" applyBorder="1" applyAlignment="1" applyProtection="1">
      <alignment horizontal="left" vertical="center" wrapText="1"/>
    </xf>
    <xf numFmtId="176" fontId="6" fillId="0" borderId="2" xfId="1" applyNumberFormat="1" applyFont="1" applyFill="1" applyBorder="1" applyAlignment="1" applyProtection="1">
      <alignment vertical="center" wrapText="1"/>
    </xf>
    <xf numFmtId="176" fontId="6" fillId="0" borderId="3" xfId="1" applyNumberFormat="1" applyFont="1" applyFill="1" applyBorder="1" applyAlignment="1" applyProtection="1">
      <alignment horizontal="left" vertical="center" wrapText="1"/>
    </xf>
    <xf numFmtId="176" fontId="6" fillId="0" borderId="3" xfId="1" applyNumberFormat="1" applyFont="1" applyFill="1" applyBorder="1" applyAlignment="1" applyProtection="1">
      <alignment vertical="center" wrapText="1"/>
    </xf>
    <xf numFmtId="176" fontId="6" fillId="0" borderId="19" xfId="1" applyNumberFormat="1" applyFont="1" applyBorder="1" applyAlignment="1" applyProtection="1">
      <alignment horizontal="center" vertical="center" wrapText="1"/>
    </xf>
    <xf numFmtId="176" fontId="6" fillId="0" borderId="19" xfId="1" applyNumberFormat="1" applyFont="1" applyFill="1" applyBorder="1" applyAlignment="1" applyProtection="1">
      <alignment horizontal="left" vertical="center" wrapText="1"/>
    </xf>
    <xf numFmtId="176" fontId="6" fillId="0" borderId="19" xfId="1" applyNumberFormat="1" applyFont="1" applyFill="1" applyBorder="1" applyAlignment="1" applyProtection="1">
      <alignment vertical="center" wrapText="1"/>
    </xf>
    <xf numFmtId="176" fontId="3" fillId="0" borderId="0" xfId="0" applyFont="1" applyFill="1" applyBorder="1" applyAlignment="1">
      <alignment vertical="top" wrapText="1"/>
    </xf>
    <xf numFmtId="176" fontId="18" fillId="0" borderId="2" xfId="1" applyNumberFormat="1" applyFont="1" applyBorder="1" applyAlignment="1" applyProtection="1">
      <alignment vertical="center" wrapText="1"/>
    </xf>
    <xf numFmtId="176" fontId="6" fillId="0" borderId="2" xfId="1" applyFont="1" applyBorder="1" applyAlignment="1">
      <alignment horizontal="center" vertical="center"/>
    </xf>
    <xf numFmtId="176" fontId="6" fillId="0" borderId="2" xfId="1" applyFont="1" applyBorder="1" applyAlignment="1">
      <alignment horizontal="left" vertical="center" wrapText="1"/>
    </xf>
    <xf numFmtId="176" fontId="6" fillId="0" borderId="1" xfId="1" applyFont="1" applyBorder="1" applyAlignment="1">
      <alignment horizontal="center" vertical="center" wrapText="1"/>
    </xf>
    <xf numFmtId="176" fontId="6" fillId="0" borderId="17" xfId="1" applyFont="1" applyBorder="1" applyAlignment="1">
      <alignment horizontal="center" vertical="center"/>
    </xf>
    <xf numFmtId="176" fontId="6" fillId="0" borderId="2" xfId="1" applyFont="1" applyBorder="1" applyAlignment="1">
      <alignment horizontal="center" vertical="center" wrapText="1"/>
    </xf>
    <xf numFmtId="176" fontId="6" fillId="0" borderId="1" xfId="1" applyFont="1" applyBorder="1" applyAlignment="1">
      <alignment horizontal="left" vertical="center" wrapText="1"/>
    </xf>
    <xf numFmtId="176" fontId="18" fillId="0" borderId="2" xfId="1" applyFont="1" applyBorder="1" applyAlignment="1">
      <alignment vertical="center" wrapText="1"/>
    </xf>
    <xf numFmtId="176" fontId="6" fillId="0" borderId="18" xfId="1" applyFont="1" applyBorder="1">
      <alignment vertical="center"/>
    </xf>
    <xf numFmtId="176" fontId="16" fillId="0" borderId="11" xfId="0" applyFont="1" applyBorder="1" applyAlignment="1">
      <alignment horizontal="center" vertical="center" wrapText="1"/>
    </xf>
    <xf numFmtId="176" fontId="6" fillId="0" borderId="2" xfId="1" applyFont="1" applyBorder="1">
      <alignment vertical="center"/>
    </xf>
    <xf numFmtId="176" fontId="6" fillId="0" borderId="20" xfId="1" applyFont="1" applyBorder="1">
      <alignment vertical="center"/>
    </xf>
    <xf numFmtId="176" fontId="6" fillId="0" borderId="3" xfId="1" applyFont="1" applyBorder="1">
      <alignment vertical="center"/>
    </xf>
    <xf numFmtId="176" fontId="6" fillId="0" borderId="21" xfId="1" applyFont="1" applyBorder="1">
      <alignment vertical="center"/>
    </xf>
    <xf numFmtId="176" fontId="6" fillId="0" borderId="19" xfId="1" applyFont="1" applyBorder="1">
      <alignment vertical="center"/>
    </xf>
    <xf numFmtId="176" fontId="6" fillId="0" borderId="2" xfId="1" applyFont="1" applyBorder="1" applyAlignment="1">
      <alignment vertical="center" wrapText="1"/>
    </xf>
    <xf numFmtId="176" fontId="21" fillId="0" borderId="1" xfId="4" applyFont="1" applyBorder="1" applyAlignment="1">
      <alignment horizontal="left" vertical="center" wrapText="1"/>
    </xf>
    <xf numFmtId="176" fontId="6" fillId="0" borderId="2" xfId="1" applyFont="1" applyFill="1" applyBorder="1" applyAlignment="1">
      <alignment horizontal="center" vertical="center"/>
    </xf>
    <xf numFmtId="176" fontId="6" fillId="0" borderId="2" xfId="1" applyFont="1" applyFill="1" applyBorder="1" applyAlignment="1">
      <alignment horizontal="left" vertical="center" wrapText="1"/>
    </xf>
    <xf numFmtId="176" fontId="6" fillId="0" borderId="1" xfId="1" applyFont="1" applyFill="1" applyBorder="1" applyAlignment="1">
      <alignment horizontal="center" vertical="center" wrapText="1"/>
    </xf>
    <xf numFmtId="176" fontId="6" fillId="0" borderId="17" xfId="1" applyFont="1" applyFill="1" applyBorder="1" applyAlignment="1">
      <alignment horizontal="center" vertical="center"/>
    </xf>
    <xf numFmtId="176" fontId="6" fillId="0" borderId="2" xfId="1" applyFont="1" applyFill="1" applyBorder="1" applyAlignment="1">
      <alignment horizontal="center" vertical="center" wrapText="1"/>
    </xf>
    <xf numFmtId="176" fontId="18" fillId="0" borderId="17" xfId="0" applyFont="1" applyFill="1" applyBorder="1" applyAlignment="1">
      <alignment horizontal="left" vertical="center" wrapText="1"/>
    </xf>
    <xf numFmtId="176" fontId="18" fillId="0" borderId="2" xfId="1" applyFont="1" applyFill="1" applyBorder="1" applyAlignment="1">
      <alignment vertical="center" wrapText="1"/>
    </xf>
    <xf numFmtId="176" fontId="6" fillId="0" borderId="18" xfId="1" applyFont="1" applyFill="1" applyBorder="1">
      <alignment vertical="center"/>
    </xf>
    <xf numFmtId="176" fontId="6" fillId="0" borderId="2" xfId="1" applyFont="1" applyFill="1" applyBorder="1">
      <alignment vertical="center"/>
    </xf>
    <xf numFmtId="176" fontId="6" fillId="0" borderId="22" xfId="1" applyNumberFormat="1" applyFont="1" applyBorder="1" applyAlignment="1" applyProtection="1">
      <alignment horizontal="center" vertical="center"/>
    </xf>
    <xf numFmtId="176" fontId="18" fillId="0" borderId="2" xfId="1" applyNumberFormat="1" applyFont="1" applyBorder="1" applyAlignment="1" applyProtection="1">
      <alignment horizontal="left" vertical="center" wrapText="1"/>
    </xf>
    <xf numFmtId="176" fontId="18" fillId="0" borderId="1" xfId="1" applyNumberFormat="1" applyFont="1" applyBorder="1" applyAlignment="1" applyProtection="1">
      <alignment horizontal="center" vertical="center" wrapText="1"/>
    </xf>
    <xf numFmtId="176" fontId="18" fillId="0" borderId="21" xfId="1" applyNumberFormat="1" applyFont="1" applyBorder="1" applyProtection="1">
      <alignment vertical="center"/>
    </xf>
    <xf numFmtId="176" fontId="18" fillId="0" borderId="19" xfId="1" applyNumberFormat="1" applyFont="1" applyBorder="1" applyProtection="1">
      <alignment vertical="center"/>
    </xf>
    <xf numFmtId="176" fontId="6" fillId="0" borderId="17" xfId="1" applyNumberFormat="1" applyFont="1" applyBorder="1" applyAlignment="1" applyProtection="1">
      <alignment horizontal="left" vertical="center" wrapText="1"/>
    </xf>
    <xf numFmtId="176" fontId="18" fillId="0" borderId="17" xfId="1" applyNumberFormat="1" applyFont="1" applyBorder="1" applyAlignment="1" applyProtection="1">
      <alignment vertical="center" wrapText="1"/>
    </xf>
    <xf numFmtId="176" fontId="6" fillId="0" borderId="18" xfId="1" applyNumberFormat="1" applyFont="1" applyBorder="1" applyProtection="1">
      <alignment vertical="center"/>
    </xf>
    <xf numFmtId="176" fontId="6" fillId="0" borderId="2" xfId="1" applyNumberFormat="1" applyFont="1" applyBorder="1" applyProtection="1">
      <alignment vertical="center"/>
    </xf>
    <xf numFmtId="176" fontId="6" fillId="0" borderId="20" xfId="1" applyNumberFormat="1" applyFont="1" applyBorder="1" applyProtection="1">
      <alignment vertical="center"/>
    </xf>
    <xf numFmtId="176" fontId="6" fillId="0" borderId="3" xfId="1" applyNumberFormat="1" applyFont="1" applyBorder="1" applyProtection="1">
      <alignment vertical="center"/>
    </xf>
    <xf numFmtId="176" fontId="6" fillId="0" borderId="21" xfId="1" applyNumberFormat="1" applyFont="1" applyBorder="1" applyProtection="1">
      <alignment vertical="center"/>
    </xf>
    <xf numFmtId="176" fontId="6" fillId="0" borderId="19" xfId="1" applyNumberFormat="1" applyFont="1" applyBorder="1" applyProtection="1">
      <alignment vertical="center"/>
    </xf>
    <xf numFmtId="176" fontId="6" fillId="0" borderId="22" xfId="1" applyNumberFormat="1" applyFont="1" applyBorder="1" applyAlignment="1" applyProtection="1">
      <alignment horizontal="left" vertical="center" wrapText="1"/>
    </xf>
    <xf numFmtId="176" fontId="6" fillId="0" borderId="10" xfId="1" applyNumberFormat="1" applyFont="1" applyBorder="1" applyAlignment="1" applyProtection="1">
      <alignment horizontal="center" vertical="center" wrapText="1"/>
    </xf>
    <xf numFmtId="176" fontId="6" fillId="0" borderId="4" xfId="1" applyNumberFormat="1" applyFont="1" applyBorder="1" applyAlignment="1" applyProtection="1">
      <alignment horizontal="center" vertical="center"/>
    </xf>
    <xf numFmtId="176" fontId="6" fillId="0" borderId="22" xfId="1" applyNumberFormat="1" applyFont="1" applyBorder="1" applyAlignment="1" applyProtection="1">
      <alignment horizontal="center" vertical="center" wrapText="1"/>
    </xf>
    <xf numFmtId="176" fontId="18" fillId="0" borderId="4" xfId="0" applyFont="1" applyBorder="1" applyAlignment="1">
      <alignment horizontal="left" vertical="center" wrapText="1"/>
    </xf>
    <xf numFmtId="176" fontId="18" fillId="0" borderId="22" xfId="1" applyNumberFormat="1" applyFont="1" applyBorder="1" applyAlignment="1" applyProtection="1">
      <alignment vertical="center" wrapText="1"/>
    </xf>
    <xf numFmtId="176" fontId="6" fillId="0" borderId="19" xfId="1" applyNumberFormat="1" applyFont="1" applyBorder="1" applyAlignment="1" applyProtection="1">
      <alignment horizontal="left" vertical="center" wrapText="1"/>
    </xf>
    <xf numFmtId="176" fontId="18" fillId="0" borderId="3" xfId="1" applyNumberFormat="1" applyFont="1" applyBorder="1" applyAlignment="1" applyProtection="1">
      <alignment horizontal="left" vertical="center" wrapText="1"/>
    </xf>
    <xf numFmtId="176" fontId="6" fillId="0" borderId="18" xfId="1" applyNumberFormat="1" applyFont="1" applyBorder="1" applyAlignment="1" applyProtection="1">
      <alignment vertical="center" wrapText="1"/>
    </xf>
    <xf numFmtId="176" fontId="6" fillId="0" borderId="2" xfId="1" applyNumberFormat="1" applyFont="1" applyBorder="1" applyAlignment="1" applyProtection="1">
      <alignment vertical="center" wrapText="1"/>
    </xf>
    <xf numFmtId="176" fontId="16" fillId="0" borderId="0" xfId="4" applyFont="1" applyAlignment="1">
      <alignment vertical="center" wrapText="1"/>
    </xf>
    <xf numFmtId="176" fontId="21" fillId="0" borderId="0" xfId="4" applyFont="1" applyBorder="1" applyAlignment="1">
      <alignment horizontal="left" vertical="center" wrapText="1"/>
    </xf>
    <xf numFmtId="176" fontId="18" fillId="0" borderId="18" xfId="1" applyNumberFormat="1" applyFont="1" applyBorder="1" applyAlignment="1" applyProtection="1">
      <alignment vertical="center" wrapText="1"/>
    </xf>
    <xf numFmtId="176" fontId="16" fillId="0" borderId="0" xfId="4" applyFont="1" applyBorder="1" applyAlignment="1">
      <alignment vertical="center" wrapText="1"/>
    </xf>
    <xf numFmtId="176" fontId="23" fillId="0" borderId="0" xfId="1" applyNumberFormat="1" applyFont="1" applyAlignment="1"/>
    <xf numFmtId="176" fontId="6" fillId="0" borderId="0" xfId="1" applyNumberFormat="1" applyFont="1" applyBorder="1" applyAlignment="1" applyProtection="1"/>
    <xf numFmtId="176" fontId="14" fillId="0" borderId="0" xfId="1" applyFont="1">
      <alignment vertical="center"/>
    </xf>
    <xf numFmtId="176" fontId="18" fillId="0" borderId="3" xfId="1" applyNumberFormat="1" applyFont="1" applyBorder="1" applyAlignment="1" applyProtection="1">
      <alignment vertical="center" wrapText="1"/>
    </xf>
    <xf numFmtId="176" fontId="18" fillId="0" borderId="0" xfId="4" applyFont="1" applyAlignment="1">
      <alignment vertical="center" wrapText="1"/>
    </xf>
    <xf numFmtId="176" fontId="6" fillId="0" borderId="19" xfId="1" applyNumberFormat="1" applyFont="1" applyBorder="1" applyAlignment="1" applyProtection="1">
      <alignment vertical="center" wrapText="1"/>
    </xf>
    <xf numFmtId="176" fontId="18" fillId="0" borderId="0" xfId="4" applyFont="1" applyAlignment="1">
      <alignment horizontal="left" vertical="center" wrapText="1"/>
    </xf>
    <xf numFmtId="176" fontId="6" fillId="0" borderId="23" xfId="1" applyNumberFormat="1" applyFont="1" applyBorder="1" applyProtection="1">
      <alignment vertical="center"/>
    </xf>
    <xf numFmtId="176" fontId="6" fillId="0" borderId="22" xfId="1" applyNumberFormat="1" applyFont="1" applyBorder="1" applyProtection="1">
      <alignment vertical="center"/>
    </xf>
    <xf numFmtId="176" fontId="18" fillId="0" borderId="0" xfId="4" applyFont="1" applyFill="1" applyAlignment="1">
      <alignment horizontal="left" vertical="center" wrapText="1"/>
    </xf>
    <xf numFmtId="176" fontId="6" fillId="0" borderId="1" xfId="1" applyNumberFormat="1" applyFont="1" applyBorder="1" applyProtection="1">
      <alignment vertical="center"/>
    </xf>
    <xf numFmtId="176" fontId="6" fillId="0" borderId="17" xfId="1" applyNumberFormat="1" applyFont="1" applyBorder="1" applyAlignment="1" applyProtection="1">
      <alignment horizontal="center" vertical="center" wrapText="1"/>
    </xf>
    <xf numFmtId="176" fontId="18" fillId="0" borderId="19" xfId="1" applyNumberFormat="1" applyFont="1" applyBorder="1" applyAlignment="1" applyProtection="1">
      <alignment vertical="center" wrapText="1"/>
    </xf>
    <xf numFmtId="176" fontId="0" fillId="0" borderId="0" xfId="0" applyAlignment="1">
      <alignment wrapText="1"/>
    </xf>
    <xf numFmtId="176" fontId="0" fillId="0" borderId="1" xfId="0" applyBorder="1" applyAlignment="1">
      <alignment wrapText="1"/>
    </xf>
    <xf numFmtId="176" fontId="2" fillId="3" borderId="1" xfId="0" applyFont="1" applyFill="1" applyBorder="1" applyAlignment="1">
      <alignment vertical="center"/>
    </xf>
    <xf numFmtId="176" fontId="0" fillId="0" borderId="0" xfId="0"/>
    <xf numFmtId="176" fontId="19" fillId="3" borderId="1" xfId="0" applyFont="1" applyFill="1" applyBorder="1" applyAlignment="1">
      <alignment vertical="center"/>
    </xf>
    <xf numFmtId="176" fontId="1" fillId="2" borderId="1" xfId="0" applyFont="1" applyFill="1" applyBorder="1" applyAlignment="1">
      <alignment horizontal="center" vertical="center" wrapText="1"/>
    </xf>
    <xf numFmtId="176" fontId="1" fillId="2" borderId="1" xfId="0" applyFont="1" applyFill="1" applyBorder="1"/>
    <xf numFmtId="176" fontId="1" fillId="2" borderId="1" xfId="0" applyFont="1" applyFill="1" applyBorder="1" applyAlignment="1">
      <alignment horizontal="center" vertical="center"/>
    </xf>
    <xf numFmtId="176" fontId="1" fillId="2" borderId="1" xfId="0" applyFont="1" applyFill="1" applyBorder="1" applyAlignment="1">
      <alignment wrapText="1"/>
    </xf>
    <xf numFmtId="176" fontId="21" fillId="0" borderId="1" xfId="4" applyFont="1" applyBorder="1" applyAlignment="1">
      <alignment horizontal="left" vertical="center" wrapText="1"/>
    </xf>
    <xf numFmtId="176" fontId="21" fillId="0" borderId="11" xfId="4" applyFont="1" applyBorder="1" applyAlignment="1">
      <alignment horizontal="left" vertical="center" wrapText="1"/>
    </xf>
    <xf numFmtId="176" fontId="21" fillId="0" borderId="13" xfId="4" applyFont="1" applyBorder="1" applyAlignment="1">
      <alignment horizontal="left" vertical="center" wrapText="1"/>
    </xf>
    <xf numFmtId="176" fontId="21" fillId="0" borderId="14" xfId="4" applyFont="1" applyBorder="1" applyAlignment="1">
      <alignment horizontal="left" vertical="center" wrapText="1"/>
    </xf>
    <xf numFmtId="176" fontId="21" fillId="5" borderId="11" xfId="4" applyFont="1" applyFill="1" applyBorder="1" applyAlignment="1">
      <alignment horizontal="left" vertical="center" wrapText="1"/>
    </xf>
    <xf numFmtId="176" fontId="21" fillId="5" borderId="13" xfId="4" applyFont="1" applyFill="1" applyBorder="1" applyAlignment="1">
      <alignment horizontal="left" vertical="center" wrapText="1"/>
    </xf>
    <xf numFmtId="176" fontId="21" fillId="5" borderId="14" xfId="4" applyFont="1" applyFill="1" applyBorder="1" applyAlignment="1">
      <alignment horizontal="left" vertical="center" wrapText="1"/>
    </xf>
    <xf numFmtId="176" fontId="21" fillId="0" borderId="1" xfId="4" applyFont="1" applyFill="1" applyBorder="1" applyAlignment="1">
      <alignment horizontal="left" vertical="center" wrapText="1"/>
    </xf>
    <xf numFmtId="176" fontId="11" fillId="4" borderId="1" xfId="3" applyFont="1" applyFill="1" applyBorder="1" applyAlignment="1">
      <alignment horizontal="center" vertical="center"/>
    </xf>
    <xf numFmtId="176" fontId="14" fillId="4" borderId="11" xfId="3" applyFont="1" applyFill="1" applyBorder="1" applyAlignment="1">
      <alignment horizontal="center" vertical="center"/>
    </xf>
    <xf numFmtId="176" fontId="14" fillId="4" borderId="14" xfId="3" applyFont="1" applyFill="1" applyBorder="1" applyAlignment="1">
      <alignment horizontal="center" vertical="center"/>
    </xf>
    <xf numFmtId="176" fontId="14" fillId="4" borderId="0" xfId="3" applyFont="1" applyFill="1" applyAlignment="1">
      <alignment horizontal="left" vertical="top" wrapText="1"/>
    </xf>
    <xf numFmtId="176" fontId="14" fillId="4" borderId="0" xfId="3" applyFont="1" applyFill="1" applyAlignment="1">
      <alignment horizontal="left" vertical="top"/>
    </xf>
    <xf numFmtId="176" fontId="14" fillId="4" borderId="12" xfId="3" applyFont="1" applyFill="1" applyBorder="1" applyAlignment="1">
      <alignment horizontal="left" vertical="top"/>
    </xf>
    <xf numFmtId="176" fontId="6" fillId="0" borderId="2" xfId="1" quotePrefix="1" applyNumberFormat="1" applyFont="1" applyBorder="1" applyProtection="1">
      <alignment vertical="center"/>
    </xf>
    <xf numFmtId="176" fontId="24" fillId="0" borderId="1" xfId="4" applyFont="1" applyBorder="1" applyAlignment="1">
      <alignment horizontal="left" vertical="center" wrapText="1"/>
    </xf>
    <xf numFmtId="176" fontId="6" fillId="0" borderId="0" xfId="1" applyNumberFormat="1" applyFont="1" applyBorder="1" applyProtection="1">
      <alignment vertical="center"/>
    </xf>
    <xf numFmtId="176" fontId="10" fillId="4" borderId="4" xfId="3" applyFont="1" applyFill="1" applyBorder="1" applyAlignment="1">
      <alignment horizontal="center" vertical="center" wrapText="1"/>
    </xf>
  </cellXfs>
  <cellStyles count="5">
    <cellStyle name="常规" xfId="0" builtinId="0"/>
    <cellStyle name="常规 2" xfId="1"/>
    <cellStyle name="常规 3 2" xfId="3"/>
    <cellStyle name="常规 4" xfId="4"/>
    <cellStyle name="常规 4 2 2 2" xfId="2"/>
  </cellStyles>
  <dxfs count="272">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7"/>
  <sheetViews>
    <sheetView workbookViewId="0">
      <selection activeCell="L6" sqref="L6"/>
    </sheetView>
  </sheetViews>
  <sheetFormatPr defaultRowHeight="14.4" x14ac:dyDescent="0.25"/>
  <cols>
    <col min="1" max="1" width="12" customWidth="1"/>
    <col min="2" max="2" width="18" customWidth="1"/>
    <col min="3" max="3" width="12.44140625" customWidth="1"/>
    <col min="4" max="4" width="18" customWidth="1"/>
    <col min="5" max="5" width="8" customWidth="1"/>
    <col min="6" max="6" width="10" customWidth="1"/>
    <col min="7" max="7" width="16" customWidth="1"/>
    <col min="8" max="8" width="14" customWidth="1"/>
    <col min="9" max="9" width="51.21875" customWidth="1"/>
    <col min="10"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1346</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1347</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36" x14ac:dyDescent="0.25">
      <c r="A6" s="4">
        <v>1</v>
      </c>
      <c r="B6" s="5" t="s">
        <v>17</v>
      </c>
      <c r="C6" s="5" t="s">
        <v>18</v>
      </c>
      <c r="D6" s="5" t="s">
        <v>19</v>
      </c>
      <c r="E6" s="5" t="s">
        <v>20</v>
      </c>
      <c r="F6" s="5" t="s">
        <v>21</v>
      </c>
      <c r="G6" s="5" t="s">
        <v>22</v>
      </c>
      <c r="H6" s="5" t="s">
        <v>23</v>
      </c>
      <c r="I6" s="5" t="s">
        <v>24</v>
      </c>
      <c r="J6" s="5" t="s">
        <v>25</v>
      </c>
      <c r="K6" s="5"/>
      <c r="L6" s="46" t="s">
        <v>671</v>
      </c>
      <c r="M6" s="5"/>
      <c r="N6" s="5"/>
      <c r="O6" s="5"/>
      <c r="P6" s="5"/>
    </row>
    <row r="7" spans="1:16" ht="48" x14ac:dyDescent="0.25">
      <c r="A7" s="4">
        <v>2</v>
      </c>
      <c r="B7" s="5" t="s">
        <v>17</v>
      </c>
      <c r="C7" s="5" t="s">
        <v>26</v>
      </c>
      <c r="D7" s="5" t="s">
        <v>27</v>
      </c>
      <c r="E7" s="5" t="s">
        <v>20</v>
      </c>
      <c r="F7" s="5" t="s">
        <v>21</v>
      </c>
      <c r="G7" s="5" t="s">
        <v>22</v>
      </c>
      <c r="H7" s="5" t="s">
        <v>23</v>
      </c>
      <c r="I7" s="5" t="s">
        <v>28</v>
      </c>
      <c r="J7" s="5" t="s">
        <v>1090</v>
      </c>
      <c r="K7" s="5" t="s">
        <v>1089</v>
      </c>
      <c r="L7" s="46" t="s">
        <v>672</v>
      </c>
      <c r="M7" s="5"/>
      <c r="N7" s="5"/>
      <c r="O7" s="5"/>
      <c r="P7" s="5"/>
    </row>
    <row r="8" spans="1:16" ht="36" x14ac:dyDescent="0.25">
      <c r="A8" s="4">
        <v>3</v>
      </c>
      <c r="B8" s="5" t="s">
        <v>17</v>
      </c>
      <c r="C8" s="5" t="s">
        <v>29</v>
      </c>
      <c r="D8" s="5" t="s">
        <v>30</v>
      </c>
      <c r="E8" s="5" t="s">
        <v>20</v>
      </c>
      <c r="F8" s="5" t="s">
        <v>21</v>
      </c>
      <c r="G8" s="5" t="s">
        <v>22</v>
      </c>
      <c r="H8" s="5" t="s">
        <v>23</v>
      </c>
      <c r="I8" s="5" t="s">
        <v>31</v>
      </c>
      <c r="J8" s="5" t="s">
        <v>32</v>
      </c>
      <c r="K8" s="5"/>
      <c r="L8" s="46" t="s">
        <v>671</v>
      </c>
      <c r="M8" s="5"/>
      <c r="N8" s="5"/>
      <c r="O8" s="5"/>
      <c r="P8" s="5"/>
    </row>
    <row r="9" spans="1:16" s="7" customFormat="1" ht="62.4" customHeight="1" x14ac:dyDescent="0.25">
      <c r="A9" s="4">
        <v>4</v>
      </c>
      <c r="B9" s="57" t="s">
        <v>981</v>
      </c>
      <c r="C9" s="5" t="s">
        <v>33</v>
      </c>
      <c r="D9" s="10" t="s">
        <v>1097</v>
      </c>
      <c r="E9" s="58" t="s">
        <v>20</v>
      </c>
      <c r="F9" s="9" t="s">
        <v>1094</v>
      </c>
      <c r="G9" s="9" t="s">
        <v>1095</v>
      </c>
      <c r="H9" s="59" t="s">
        <v>1098</v>
      </c>
      <c r="I9" s="60" t="s">
        <v>1101</v>
      </c>
      <c r="J9" s="61" t="s">
        <v>1102</v>
      </c>
      <c r="K9" s="5" t="s">
        <v>1106</v>
      </c>
      <c r="L9" s="46" t="s">
        <v>673</v>
      </c>
      <c r="M9" s="5"/>
      <c r="N9" s="5"/>
      <c r="O9" s="5"/>
      <c r="P9" s="5"/>
    </row>
    <row r="10" spans="1:16" s="7" customFormat="1" ht="63" customHeight="1" x14ac:dyDescent="0.25">
      <c r="A10" s="4">
        <v>5</v>
      </c>
      <c r="B10" s="57" t="s">
        <v>981</v>
      </c>
      <c r="C10" s="5" t="s">
        <v>37</v>
      </c>
      <c r="D10" s="10" t="s">
        <v>1099</v>
      </c>
      <c r="E10" s="58" t="s">
        <v>20</v>
      </c>
      <c r="F10" s="9" t="s">
        <v>1094</v>
      </c>
      <c r="G10" s="9" t="s">
        <v>1100</v>
      </c>
      <c r="H10" s="59" t="s">
        <v>983</v>
      </c>
      <c r="I10" s="60" t="s">
        <v>1103</v>
      </c>
      <c r="J10" s="61" t="s">
        <v>1104</v>
      </c>
      <c r="K10" s="5"/>
      <c r="L10" s="46" t="s">
        <v>673</v>
      </c>
      <c r="M10" s="5"/>
      <c r="N10" s="5"/>
      <c r="O10" s="5"/>
      <c r="P10" s="5"/>
    </row>
    <row r="11" spans="1:16" s="7" customFormat="1" ht="68.400000000000006" customHeight="1" x14ac:dyDescent="0.25">
      <c r="A11" s="4">
        <v>6</v>
      </c>
      <c r="B11" s="57" t="s">
        <v>981</v>
      </c>
      <c r="C11" s="5" t="s">
        <v>39</v>
      </c>
      <c r="D11" s="10" t="s">
        <v>1096</v>
      </c>
      <c r="E11" s="58" t="s">
        <v>20</v>
      </c>
      <c r="F11" s="9" t="s">
        <v>1094</v>
      </c>
      <c r="G11" s="9" t="s">
        <v>1095</v>
      </c>
      <c r="H11" s="59" t="s">
        <v>983</v>
      </c>
      <c r="I11" s="60" t="s">
        <v>1105</v>
      </c>
      <c r="J11" s="61" t="s">
        <v>1107</v>
      </c>
      <c r="K11" s="5"/>
      <c r="L11" s="46" t="s">
        <v>673</v>
      </c>
      <c r="M11" s="5"/>
      <c r="N11" s="5"/>
      <c r="O11" s="5"/>
      <c r="P11" s="5"/>
    </row>
    <row r="12" spans="1:16" ht="61.8" customHeight="1" x14ac:dyDescent="0.25">
      <c r="A12" s="4">
        <v>7</v>
      </c>
      <c r="B12" s="5" t="s">
        <v>17</v>
      </c>
      <c r="C12" s="5" t="s">
        <v>44</v>
      </c>
      <c r="D12" s="5" t="s">
        <v>34</v>
      </c>
      <c r="E12" s="5" t="s">
        <v>20</v>
      </c>
      <c r="F12" s="5" t="s">
        <v>21</v>
      </c>
      <c r="G12" s="5" t="s">
        <v>22</v>
      </c>
      <c r="H12" s="5" t="s">
        <v>23</v>
      </c>
      <c r="I12" s="5" t="s">
        <v>35</v>
      </c>
      <c r="J12" s="5" t="s">
        <v>36</v>
      </c>
      <c r="K12" s="5"/>
      <c r="L12" s="46" t="s">
        <v>671</v>
      </c>
      <c r="M12" s="5"/>
      <c r="N12" s="5"/>
      <c r="O12" s="5"/>
      <c r="P12" s="5"/>
    </row>
    <row r="13" spans="1:16" ht="73.8" customHeight="1" x14ac:dyDescent="0.25">
      <c r="A13" s="4">
        <v>8</v>
      </c>
      <c r="B13" s="5" t="s">
        <v>17</v>
      </c>
      <c r="C13" s="5" t="s">
        <v>45</v>
      </c>
      <c r="D13" s="5" t="s">
        <v>38</v>
      </c>
      <c r="E13" s="5" t="s">
        <v>20</v>
      </c>
      <c r="F13" s="5" t="s">
        <v>21</v>
      </c>
      <c r="G13" s="5" t="s">
        <v>22</v>
      </c>
      <c r="H13" s="5" t="s">
        <v>23</v>
      </c>
      <c r="I13" s="5" t="s">
        <v>1092</v>
      </c>
      <c r="J13" s="5" t="s">
        <v>1093</v>
      </c>
      <c r="K13" s="5" t="s">
        <v>1091</v>
      </c>
      <c r="L13" s="46" t="s">
        <v>672</v>
      </c>
      <c r="M13" s="5"/>
      <c r="N13" s="5"/>
      <c r="O13" s="5"/>
      <c r="P13" s="5"/>
    </row>
    <row r="14" spans="1:16" ht="62.4" customHeight="1" x14ac:dyDescent="0.25">
      <c r="A14" s="4">
        <v>9</v>
      </c>
      <c r="B14" s="5" t="s">
        <v>17</v>
      </c>
      <c r="C14" s="5" t="s">
        <v>46</v>
      </c>
      <c r="D14" s="5" t="s">
        <v>40</v>
      </c>
      <c r="E14" s="5" t="s">
        <v>20</v>
      </c>
      <c r="F14" s="5" t="s">
        <v>21</v>
      </c>
      <c r="G14" s="5" t="s">
        <v>22</v>
      </c>
      <c r="H14" s="5" t="s">
        <v>23</v>
      </c>
      <c r="I14" s="5" t="s">
        <v>41</v>
      </c>
      <c r="J14" s="5" t="s">
        <v>42</v>
      </c>
      <c r="K14" s="5"/>
      <c r="L14" s="46" t="s">
        <v>671</v>
      </c>
      <c r="M14" s="5"/>
      <c r="N14" s="5"/>
      <c r="O14" s="5"/>
      <c r="P14" s="5"/>
    </row>
    <row r="15" spans="1:16" x14ac:dyDescent="0.25">
      <c r="A15" s="139" t="s">
        <v>43</v>
      </c>
      <c r="B15" s="140"/>
      <c r="C15" s="140"/>
      <c r="D15" s="140"/>
      <c r="E15" s="140"/>
      <c r="F15" s="140"/>
      <c r="G15" s="140"/>
      <c r="H15" s="140"/>
      <c r="I15" s="140"/>
      <c r="J15" s="140"/>
      <c r="K15" s="140"/>
      <c r="L15" s="140"/>
      <c r="M15" s="140"/>
      <c r="N15" s="140"/>
      <c r="O15" s="140"/>
      <c r="P15" s="140"/>
    </row>
    <row r="16" spans="1:16" s="7" customFormat="1" ht="52.8" x14ac:dyDescent="0.25">
      <c r="A16" s="4">
        <v>10</v>
      </c>
      <c r="B16" s="51" t="s">
        <v>1108</v>
      </c>
      <c r="C16" s="5" t="s">
        <v>1157</v>
      </c>
      <c r="D16" s="62" t="s">
        <v>1109</v>
      </c>
      <c r="E16" s="58" t="s">
        <v>20</v>
      </c>
      <c r="F16" s="5" t="s">
        <v>21</v>
      </c>
      <c r="G16" s="9" t="s">
        <v>1095</v>
      </c>
      <c r="H16" s="59" t="s">
        <v>1110</v>
      </c>
      <c r="I16" s="63" t="s">
        <v>1127</v>
      </c>
      <c r="J16" s="64" t="s">
        <v>1128</v>
      </c>
      <c r="K16" s="5"/>
      <c r="L16" s="46" t="s">
        <v>671</v>
      </c>
      <c r="M16" s="5"/>
      <c r="N16" s="5"/>
      <c r="O16" s="5"/>
      <c r="P16" s="5"/>
    </row>
    <row r="17" spans="1:16" s="7" customFormat="1" ht="52.8" x14ac:dyDescent="0.25">
      <c r="A17" s="4">
        <v>11</v>
      </c>
      <c r="B17" s="51" t="s">
        <v>981</v>
      </c>
      <c r="C17" s="5" t="s">
        <v>47</v>
      </c>
      <c r="D17" s="10" t="s">
        <v>1111</v>
      </c>
      <c r="E17" s="58" t="s">
        <v>20</v>
      </c>
      <c r="F17" s="5" t="s">
        <v>21</v>
      </c>
      <c r="G17" s="9" t="s">
        <v>1095</v>
      </c>
      <c r="H17" s="59" t="s">
        <v>983</v>
      </c>
      <c r="I17" s="65" t="s">
        <v>1129</v>
      </c>
      <c r="J17" s="66" t="s">
        <v>1130</v>
      </c>
      <c r="K17" s="5"/>
      <c r="L17" s="46" t="s">
        <v>671</v>
      </c>
      <c r="M17" s="5"/>
      <c r="N17" s="5"/>
      <c r="O17" s="5"/>
      <c r="P17" s="5"/>
    </row>
    <row r="18" spans="1:16" s="7" customFormat="1" ht="66" x14ac:dyDescent="0.25">
      <c r="A18" s="4">
        <v>12</v>
      </c>
      <c r="B18" s="51" t="s">
        <v>981</v>
      </c>
      <c r="C18" s="5" t="s">
        <v>48</v>
      </c>
      <c r="D18" s="10" t="s">
        <v>1112</v>
      </c>
      <c r="E18" s="58" t="s">
        <v>20</v>
      </c>
      <c r="F18" s="5" t="s">
        <v>21</v>
      </c>
      <c r="G18" s="9" t="s">
        <v>1095</v>
      </c>
      <c r="H18" s="59" t="s">
        <v>983</v>
      </c>
      <c r="I18" s="65" t="s">
        <v>1141</v>
      </c>
      <c r="J18" s="66" t="s">
        <v>1142</v>
      </c>
      <c r="K18" s="5"/>
      <c r="L18" s="46" t="s">
        <v>671</v>
      </c>
      <c r="M18" s="5"/>
      <c r="N18" s="5"/>
      <c r="O18" s="5"/>
      <c r="P18" s="5"/>
    </row>
    <row r="19" spans="1:16" ht="66" x14ac:dyDescent="0.25">
      <c r="A19" s="4">
        <v>13</v>
      </c>
      <c r="B19" s="51" t="s">
        <v>981</v>
      </c>
      <c r="C19" s="5" t="s">
        <v>50</v>
      </c>
      <c r="D19" s="10" t="s">
        <v>1113</v>
      </c>
      <c r="E19" s="58" t="s">
        <v>20</v>
      </c>
      <c r="F19" s="5" t="s">
        <v>21</v>
      </c>
      <c r="G19" s="9" t="s">
        <v>1114</v>
      </c>
      <c r="H19" s="59" t="s">
        <v>1110</v>
      </c>
      <c r="I19" s="65" t="s">
        <v>1139</v>
      </c>
      <c r="J19" s="66" t="s">
        <v>1140</v>
      </c>
      <c r="K19" s="5"/>
      <c r="L19" s="46" t="s">
        <v>673</v>
      </c>
      <c r="M19" s="5"/>
      <c r="N19" s="5"/>
      <c r="O19" s="5"/>
      <c r="P19" s="5"/>
    </row>
    <row r="20" spans="1:16" ht="66" x14ac:dyDescent="0.25">
      <c r="A20" s="4">
        <v>14</v>
      </c>
      <c r="B20" s="51" t="s">
        <v>1115</v>
      </c>
      <c r="C20" s="5" t="s">
        <v>53</v>
      </c>
      <c r="D20" s="10" t="s">
        <v>1116</v>
      </c>
      <c r="E20" s="58" t="s">
        <v>20</v>
      </c>
      <c r="F20" s="5" t="s">
        <v>21</v>
      </c>
      <c r="G20" s="9" t="s">
        <v>1117</v>
      </c>
      <c r="H20" s="59" t="s">
        <v>1118</v>
      </c>
      <c r="I20" s="65" t="s">
        <v>1137</v>
      </c>
      <c r="J20" s="66" t="s">
        <v>1138</v>
      </c>
      <c r="K20" s="5"/>
      <c r="L20" s="46" t="s">
        <v>673</v>
      </c>
      <c r="M20" s="5"/>
      <c r="N20" s="5"/>
      <c r="O20" s="5"/>
      <c r="P20" s="5"/>
    </row>
    <row r="21" spans="1:16" ht="66" x14ac:dyDescent="0.25">
      <c r="A21" s="4">
        <v>15</v>
      </c>
      <c r="B21" s="51" t="s">
        <v>1115</v>
      </c>
      <c r="C21" s="5" t="s">
        <v>56</v>
      </c>
      <c r="D21" s="10" t="s">
        <v>1119</v>
      </c>
      <c r="E21" s="58" t="s">
        <v>20</v>
      </c>
      <c r="F21" s="5" t="s">
        <v>21</v>
      </c>
      <c r="G21" s="9" t="s">
        <v>1095</v>
      </c>
      <c r="H21" s="59" t="s">
        <v>1120</v>
      </c>
      <c r="I21" s="65" t="s">
        <v>1131</v>
      </c>
      <c r="J21" s="66" t="s">
        <v>1132</v>
      </c>
      <c r="K21" s="5"/>
      <c r="L21" s="46" t="s">
        <v>673</v>
      </c>
      <c r="M21" s="5"/>
      <c r="N21" s="5"/>
      <c r="O21" s="5"/>
      <c r="P21" s="5"/>
    </row>
    <row r="22" spans="1:16" ht="66" x14ac:dyDescent="0.25">
      <c r="A22" s="4">
        <v>16</v>
      </c>
      <c r="B22" s="51" t="s">
        <v>981</v>
      </c>
      <c r="C22" s="5" t="s">
        <v>59</v>
      </c>
      <c r="D22" s="10" t="s">
        <v>1121</v>
      </c>
      <c r="E22" s="58" t="s">
        <v>20</v>
      </c>
      <c r="F22" s="5" t="s">
        <v>21</v>
      </c>
      <c r="G22" s="9" t="s">
        <v>1117</v>
      </c>
      <c r="H22" s="59" t="s">
        <v>983</v>
      </c>
      <c r="I22" s="65" t="s">
        <v>1134</v>
      </c>
      <c r="J22" s="66" t="s">
        <v>1133</v>
      </c>
      <c r="K22" s="5"/>
      <c r="L22" s="46" t="s">
        <v>671</v>
      </c>
      <c r="M22" s="5"/>
      <c r="N22" s="5"/>
      <c r="O22" s="5"/>
      <c r="P22" s="5"/>
    </row>
    <row r="23" spans="1:16" ht="52.8" x14ac:dyDescent="0.25">
      <c r="A23" s="4">
        <v>17</v>
      </c>
      <c r="B23" s="51" t="s">
        <v>981</v>
      </c>
      <c r="C23" s="5" t="s">
        <v>64</v>
      </c>
      <c r="D23" s="10" t="s">
        <v>1122</v>
      </c>
      <c r="E23" s="58" t="s">
        <v>20</v>
      </c>
      <c r="F23" s="5" t="s">
        <v>21</v>
      </c>
      <c r="G23" s="9" t="s">
        <v>1095</v>
      </c>
      <c r="H23" s="59" t="s">
        <v>1118</v>
      </c>
      <c r="I23" s="65" t="s">
        <v>1135</v>
      </c>
      <c r="J23" s="66" t="s">
        <v>1136</v>
      </c>
      <c r="K23" s="5"/>
      <c r="L23" s="46" t="s">
        <v>671</v>
      </c>
      <c r="M23" s="5"/>
      <c r="N23" s="5"/>
      <c r="O23" s="5"/>
      <c r="P23" s="5"/>
    </row>
    <row r="24" spans="1:16" ht="66" x14ac:dyDescent="0.25">
      <c r="A24" s="4">
        <v>18</v>
      </c>
      <c r="B24" s="51" t="s">
        <v>1123</v>
      </c>
      <c r="C24" s="5" t="s">
        <v>69</v>
      </c>
      <c r="D24" s="67" t="s">
        <v>1124</v>
      </c>
      <c r="E24" s="58" t="s">
        <v>20</v>
      </c>
      <c r="F24" s="5" t="s">
        <v>21</v>
      </c>
      <c r="G24" s="9" t="s">
        <v>1095</v>
      </c>
      <c r="H24" s="59" t="s">
        <v>983</v>
      </c>
      <c r="I24" s="68" t="s">
        <v>1125</v>
      </c>
      <c r="J24" s="69" t="s">
        <v>1126</v>
      </c>
      <c r="K24" s="5"/>
      <c r="L24" s="46" t="s">
        <v>671</v>
      </c>
      <c r="M24" s="5"/>
      <c r="N24" s="5"/>
      <c r="O24" s="5"/>
      <c r="P24" s="5"/>
    </row>
    <row r="25" spans="1:16" x14ac:dyDescent="0.25">
      <c r="A25" s="139" t="s">
        <v>49</v>
      </c>
      <c r="B25" s="140"/>
      <c r="C25" s="140"/>
      <c r="D25" s="140"/>
      <c r="E25" s="140"/>
      <c r="F25" s="140"/>
      <c r="G25" s="140"/>
      <c r="H25" s="140"/>
      <c r="I25" s="140"/>
      <c r="J25" s="140"/>
      <c r="K25" s="140"/>
      <c r="L25" s="140"/>
      <c r="M25" s="140"/>
      <c r="N25" s="140"/>
      <c r="O25" s="140"/>
      <c r="P25" s="140"/>
    </row>
    <row r="26" spans="1:16" s="7" customFormat="1" ht="92.4" x14ac:dyDescent="0.25">
      <c r="A26" s="4">
        <v>19</v>
      </c>
      <c r="B26" s="5" t="s">
        <v>17</v>
      </c>
      <c r="C26" s="5" t="s">
        <v>1158</v>
      </c>
      <c r="D26" s="5" t="s">
        <v>1145</v>
      </c>
      <c r="E26" s="5" t="s">
        <v>20</v>
      </c>
      <c r="F26" s="5" t="s">
        <v>21</v>
      </c>
      <c r="G26" s="5" t="s">
        <v>22</v>
      </c>
      <c r="H26" s="5" t="s">
        <v>23</v>
      </c>
      <c r="I26" s="63" t="s">
        <v>1143</v>
      </c>
      <c r="J26" s="64" t="s">
        <v>1147</v>
      </c>
      <c r="K26" s="70" t="s">
        <v>1144</v>
      </c>
      <c r="L26" s="46" t="s">
        <v>673</v>
      </c>
    </row>
    <row r="27" spans="1:16" s="7" customFormat="1" ht="92.4" x14ac:dyDescent="0.25">
      <c r="A27" s="4">
        <v>20</v>
      </c>
      <c r="B27" s="5" t="s">
        <v>17</v>
      </c>
      <c r="C27" s="5" t="s">
        <v>73</v>
      </c>
      <c r="D27" s="5" t="s">
        <v>51</v>
      </c>
      <c r="E27" s="5" t="s">
        <v>20</v>
      </c>
      <c r="F27" s="5" t="s">
        <v>21</v>
      </c>
      <c r="G27" s="5" t="s">
        <v>22</v>
      </c>
      <c r="H27" s="5" t="s">
        <v>23</v>
      </c>
      <c r="I27" s="63" t="s">
        <v>1149</v>
      </c>
      <c r="J27" s="66" t="s">
        <v>1148</v>
      </c>
      <c r="L27" s="46" t="s">
        <v>673</v>
      </c>
    </row>
    <row r="28" spans="1:16" ht="118.8" x14ac:dyDescent="0.25">
      <c r="A28" s="4">
        <v>21</v>
      </c>
      <c r="B28" s="5" t="s">
        <v>17</v>
      </c>
      <c r="C28" s="5" t="s">
        <v>77</v>
      </c>
      <c r="D28" s="5" t="s">
        <v>1146</v>
      </c>
      <c r="E28" s="5" t="s">
        <v>20</v>
      </c>
      <c r="F28" s="5" t="s">
        <v>21</v>
      </c>
      <c r="G28" s="5" t="s">
        <v>22</v>
      </c>
      <c r="H28" s="5" t="s">
        <v>23</v>
      </c>
      <c r="I28" s="63" t="s">
        <v>1162</v>
      </c>
      <c r="J28" s="69" t="s">
        <v>1150</v>
      </c>
      <c r="K28" s="5"/>
      <c r="L28" s="46" t="s">
        <v>671</v>
      </c>
      <c r="M28" s="5"/>
      <c r="N28" s="5"/>
      <c r="O28" s="5"/>
      <c r="P28" s="5"/>
    </row>
    <row r="29" spans="1:16" x14ac:dyDescent="0.25">
      <c r="A29" s="139" t="s">
        <v>52</v>
      </c>
      <c r="B29" s="140"/>
      <c r="C29" s="140"/>
      <c r="D29" s="140"/>
      <c r="E29" s="140"/>
      <c r="F29" s="140"/>
      <c r="G29" s="140"/>
      <c r="H29" s="140"/>
      <c r="I29" s="140"/>
      <c r="J29" s="140"/>
      <c r="K29" s="140"/>
      <c r="L29" s="140"/>
      <c r="M29" s="140"/>
      <c r="N29" s="140"/>
      <c r="O29" s="140"/>
      <c r="P29" s="140"/>
    </row>
    <row r="30" spans="1:16" ht="109.8" customHeight="1" x14ac:dyDescent="0.25">
      <c r="A30" s="4">
        <v>22</v>
      </c>
      <c r="B30" s="5" t="s">
        <v>17</v>
      </c>
      <c r="C30" s="5" t="s">
        <v>1159</v>
      </c>
      <c r="D30" s="5" t="s">
        <v>54</v>
      </c>
      <c r="E30" s="5" t="s">
        <v>55</v>
      </c>
      <c r="F30" s="5" t="s">
        <v>21</v>
      </c>
      <c r="G30" s="5" t="s">
        <v>22</v>
      </c>
      <c r="H30" s="5" t="s">
        <v>23</v>
      </c>
      <c r="I30" s="5" t="s">
        <v>1151</v>
      </c>
      <c r="J30" s="5" t="s">
        <v>1152</v>
      </c>
      <c r="K30" s="5"/>
      <c r="L30" s="46" t="s">
        <v>671</v>
      </c>
      <c r="M30" s="5"/>
      <c r="N30" s="5"/>
      <c r="O30" s="5"/>
      <c r="P30" s="5"/>
    </row>
    <row r="31" spans="1:16" ht="89.4" customHeight="1" x14ac:dyDescent="0.25">
      <c r="A31" s="4">
        <v>23</v>
      </c>
      <c r="B31" s="5" t="s">
        <v>17</v>
      </c>
      <c r="C31" s="5" t="s">
        <v>1161</v>
      </c>
      <c r="D31" s="5" t="s">
        <v>57</v>
      </c>
      <c r="E31" s="5" t="s">
        <v>55</v>
      </c>
      <c r="F31" s="5" t="s">
        <v>1156</v>
      </c>
      <c r="G31" s="5" t="s">
        <v>22</v>
      </c>
      <c r="H31" s="5" t="s">
        <v>23</v>
      </c>
      <c r="I31" s="5" t="s">
        <v>1154</v>
      </c>
      <c r="J31" s="5" t="s">
        <v>1153</v>
      </c>
      <c r="K31" s="5" t="s">
        <v>1155</v>
      </c>
      <c r="L31" s="46" t="s">
        <v>672</v>
      </c>
      <c r="M31" s="5"/>
      <c r="N31" s="5"/>
      <c r="O31" s="5"/>
      <c r="P31" s="5"/>
    </row>
    <row r="32" spans="1:16" x14ac:dyDescent="0.25">
      <c r="A32" s="139" t="s">
        <v>58</v>
      </c>
      <c r="B32" s="140"/>
      <c r="C32" s="140"/>
      <c r="D32" s="140"/>
      <c r="E32" s="140"/>
      <c r="F32" s="140"/>
      <c r="G32" s="140"/>
      <c r="H32" s="140"/>
      <c r="I32" s="140"/>
      <c r="J32" s="140"/>
      <c r="K32" s="140"/>
      <c r="L32" s="140"/>
      <c r="M32" s="140"/>
      <c r="N32" s="140"/>
      <c r="O32" s="140"/>
      <c r="P32" s="140"/>
    </row>
    <row r="33" spans="1:16" ht="59.4" customHeight="1" x14ac:dyDescent="0.25">
      <c r="A33" s="4">
        <v>24</v>
      </c>
      <c r="B33" s="5" t="s">
        <v>17</v>
      </c>
      <c r="C33" s="5" t="s">
        <v>1160</v>
      </c>
      <c r="D33" s="5" t="s">
        <v>60</v>
      </c>
      <c r="E33" s="5" t="s">
        <v>61</v>
      </c>
      <c r="F33" s="5" t="s">
        <v>21</v>
      </c>
      <c r="G33" s="5" t="s">
        <v>22</v>
      </c>
      <c r="H33" s="5" t="s">
        <v>23</v>
      </c>
      <c r="I33" s="5" t="s">
        <v>62</v>
      </c>
      <c r="J33" s="5" t="s">
        <v>63</v>
      </c>
      <c r="K33" s="5"/>
      <c r="L33" s="46" t="s">
        <v>671</v>
      </c>
      <c r="M33" s="5"/>
      <c r="N33" s="5"/>
      <c r="O33" s="5"/>
      <c r="P33" s="5"/>
    </row>
    <row r="34" spans="1:16" ht="70.2" customHeight="1" x14ac:dyDescent="0.25">
      <c r="A34" s="4">
        <v>25</v>
      </c>
      <c r="B34" s="5" t="s">
        <v>17</v>
      </c>
      <c r="C34" s="5" t="s">
        <v>86</v>
      </c>
      <c r="D34" s="5" t="s">
        <v>65</v>
      </c>
      <c r="E34" s="5" t="s">
        <v>61</v>
      </c>
      <c r="F34" s="5" t="s">
        <v>21</v>
      </c>
      <c r="G34" s="5" t="s">
        <v>22</v>
      </c>
      <c r="H34" s="5" t="s">
        <v>23</v>
      </c>
      <c r="I34" s="5" t="s">
        <v>66</v>
      </c>
      <c r="J34" s="5" t="s">
        <v>67</v>
      </c>
      <c r="K34" s="5"/>
      <c r="L34" s="46" t="s">
        <v>671</v>
      </c>
      <c r="M34" s="5"/>
      <c r="N34" s="5"/>
      <c r="O34" s="5"/>
      <c r="P34" s="5"/>
    </row>
    <row r="35" spans="1:16" x14ac:dyDescent="0.25">
      <c r="A35" s="139" t="s">
        <v>68</v>
      </c>
      <c r="B35" s="140"/>
      <c r="C35" s="140"/>
      <c r="D35" s="140"/>
      <c r="E35" s="140"/>
      <c r="F35" s="140"/>
      <c r="G35" s="140"/>
      <c r="H35" s="140"/>
      <c r="I35" s="140"/>
      <c r="J35" s="140"/>
      <c r="K35" s="140"/>
      <c r="L35" s="140"/>
      <c r="M35" s="140"/>
      <c r="N35" s="140"/>
      <c r="O35" s="140"/>
      <c r="P35" s="140"/>
    </row>
    <row r="36" spans="1:16" ht="70.8" customHeight="1" x14ac:dyDescent="0.25">
      <c r="A36" s="4">
        <v>26</v>
      </c>
      <c r="B36" s="5" t="s">
        <v>17</v>
      </c>
      <c r="C36" s="5" t="s">
        <v>1167</v>
      </c>
      <c r="D36" s="5" t="s">
        <v>70</v>
      </c>
      <c r="E36" s="5" t="s">
        <v>20</v>
      </c>
      <c r="F36" s="5" t="s">
        <v>21</v>
      </c>
      <c r="G36" s="5" t="s">
        <v>22</v>
      </c>
      <c r="H36" s="5" t="s">
        <v>23</v>
      </c>
      <c r="I36" s="5" t="s">
        <v>1163</v>
      </c>
      <c r="J36" s="5" t="s">
        <v>1166</v>
      </c>
      <c r="K36" s="5"/>
      <c r="L36" s="46" t="s">
        <v>671</v>
      </c>
      <c r="M36" s="5"/>
      <c r="N36" s="5"/>
      <c r="O36" s="5"/>
      <c r="P36" s="5"/>
    </row>
    <row r="37" spans="1:16" ht="74.400000000000006" customHeight="1" x14ac:dyDescent="0.25">
      <c r="A37" s="4">
        <v>27</v>
      </c>
      <c r="B37" s="5" t="s">
        <v>17</v>
      </c>
      <c r="C37" s="5" t="s">
        <v>90</v>
      </c>
      <c r="D37" s="5" t="s">
        <v>71</v>
      </c>
      <c r="E37" s="5" t="s">
        <v>20</v>
      </c>
      <c r="F37" s="5" t="s">
        <v>21</v>
      </c>
      <c r="G37" s="5" t="s">
        <v>22</v>
      </c>
      <c r="H37" s="5" t="s">
        <v>23</v>
      </c>
      <c r="I37" s="5" t="s">
        <v>1164</v>
      </c>
      <c r="J37" s="5" t="s">
        <v>1165</v>
      </c>
      <c r="K37" s="5"/>
      <c r="L37" s="46" t="s">
        <v>671</v>
      </c>
      <c r="M37" s="5"/>
      <c r="N37" s="5"/>
      <c r="O37" s="5"/>
      <c r="P37" s="5"/>
    </row>
    <row r="38" spans="1:16" x14ac:dyDescent="0.25">
      <c r="A38" s="139" t="s">
        <v>72</v>
      </c>
      <c r="B38" s="140"/>
      <c r="C38" s="140"/>
      <c r="D38" s="140"/>
      <c r="E38" s="140"/>
      <c r="F38" s="140"/>
      <c r="G38" s="140"/>
      <c r="H38" s="140"/>
      <c r="I38" s="140"/>
      <c r="J38" s="140"/>
      <c r="K38" s="140"/>
      <c r="L38" s="140"/>
      <c r="M38" s="140"/>
      <c r="N38" s="140"/>
      <c r="O38" s="140"/>
      <c r="P38" s="140"/>
    </row>
    <row r="39" spans="1:16" ht="36" x14ac:dyDescent="0.25">
      <c r="A39" s="4">
        <v>28</v>
      </c>
      <c r="B39" s="5" t="s">
        <v>17</v>
      </c>
      <c r="C39" s="5" t="s">
        <v>1168</v>
      </c>
      <c r="D39" s="5" t="s">
        <v>74</v>
      </c>
      <c r="E39" s="5" t="s">
        <v>55</v>
      </c>
      <c r="F39" s="5" t="s">
        <v>21</v>
      </c>
      <c r="G39" s="5" t="s">
        <v>22</v>
      </c>
      <c r="H39" s="5" t="s">
        <v>23</v>
      </c>
      <c r="I39" s="5" t="s">
        <v>75</v>
      </c>
      <c r="J39" s="5" t="s">
        <v>76</v>
      </c>
      <c r="K39" s="5"/>
      <c r="L39" s="46" t="s">
        <v>671</v>
      </c>
      <c r="M39" s="5"/>
      <c r="N39" s="5"/>
      <c r="O39" s="5"/>
      <c r="P39" s="5"/>
    </row>
    <row r="40" spans="1:16" ht="36" x14ac:dyDescent="0.25">
      <c r="A40" s="4">
        <v>29</v>
      </c>
      <c r="B40" s="5" t="s">
        <v>17</v>
      </c>
      <c r="C40" s="5" t="s">
        <v>91</v>
      </c>
      <c r="D40" s="5" t="s">
        <v>78</v>
      </c>
      <c r="E40" s="5" t="s">
        <v>55</v>
      </c>
      <c r="F40" s="5" t="s">
        <v>21</v>
      </c>
      <c r="G40" s="5" t="s">
        <v>22</v>
      </c>
      <c r="H40" s="5" t="s">
        <v>23</v>
      </c>
      <c r="I40" s="5" t="s">
        <v>79</v>
      </c>
      <c r="J40" s="5" t="s">
        <v>76</v>
      </c>
      <c r="K40" s="5"/>
      <c r="L40" s="46" t="s">
        <v>671</v>
      </c>
      <c r="M40" s="5"/>
      <c r="N40" s="5"/>
      <c r="O40" s="5"/>
      <c r="P40" s="5"/>
    </row>
    <row r="41" spans="1:16" x14ac:dyDescent="0.25">
      <c r="A41" s="139" t="s">
        <v>80</v>
      </c>
      <c r="B41" s="140"/>
      <c r="C41" s="140"/>
      <c r="D41" s="140"/>
      <c r="E41" s="140"/>
      <c r="F41" s="140"/>
      <c r="G41" s="140"/>
      <c r="H41" s="140"/>
      <c r="I41" s="140"/>
      <c r="J41" s="140"/>
      <c r="K41" s="140"/>
      <c r="L41" s="140"/>
      <c r="M41" s="140"/>
      <c r="N41" s="140"/>
      <c r="O41" s="140"/>
      <c r="P41" s="140"/>
    </row>
    <row r="42" spans="1:16" ht="36" x14ac:dyDescent="0.25">
      <c r="A42" s="4">
        <v>30</v>
      </c>
      <c r="B42" s="5" t="s">
        <v>17</v>
      </c>
      <c r="C42" s="5" t="s">
        <v>81</v>
      </c>
      <c r="D42" s="5" t="s">
        <v>82</v>
      </c>
      <c r="E42" s="5" t="s">
        <v>20</v>
      </c>
      <c r="F42" s="5" t="s">
        <v>21</v>
      </c>
      <c r="G42" s="5" t="s">
        <v>22</v>
      </c>
      <c r="H42" s="5" t="s">
        <v>23</v>
      </c>
      <c r="I42" s="5" t="s">
        <v>1169</v>
      </c>
      <c r="J42" s="5" t="s">
        <v>76</v>
      </c>
      <c r="K42" s="5"/>
      <c r="L42" s="46" t="s">
        <v>671</v>
      </c>
      <c r="M42" s="5"/>
      <c r="N42" s="5"/>
      <c r="O42" s="5"/>
      <c r="P42" s="5"/>
    </row>
    <row r="43" spans="1:16" ht="49.8" customHeight="1" x14ac:dyDescent="0.25">
      <c r="A43" s="4">
        <v>31</v>
      </c>
      <c r="B43" s="5" t="s">
        <v>17</v>
      </c>
      <c r="C43" s="5" t="s">
        <v>83</v>
      </c>
      <c r="D43" s="5" t="s">
        <v>84</v>
      </c>
      <c r="E43" s="5" t="s">
        <v>20</v>
      </c>
      <c r="F43" s="5" t="s">
        <v>21</v>
      </c>
      <c r="G43" s="5" t="s">
        <v>22</v>
      </c>
      <c r="H43" s="5" t="s">
        <v>23</v>
      </c>
      <c r="I43" s="5" t="s">
        <v>1170</v>
      </c>
      <c r="J43" s="5" t="s">
        <v>85</v>
      </c>
      <c r="K43" s="5"/>
      <c r="L43" s="46" t="s">
        <v>671</v>
      </c>
      <c r="M43" s="5"/>
      <c r="N43" s="5"/>
      <c r="O43" s="5"/>
      <c r="P43" s="5"/>
    </row>
    <row r="44" spans="1:16" ht="84" x14ac:dyDescent="0.25">
      <c r="A44" s="4">
        <v>32</v>
      </c>
      <c r="B44" s="5" t="s">
        <v>17</v>
      </c>
      <c r="C44" s="5" t="s">
        <v>86</v>
      </c>
      <c r="D44" s="5" t="s">
        <v>1171</v>
      </c>
      <c r="E44" s="5" t="s">
        <v>20</v>
      </c>
      <c r="F44" s="5" t="s">
        <v>21</v>
      </c>
      <c r="G44" s="5" t="s">
        <v>22</v>
      </c>
      <c r="H44" s="5" t="s">
        <v>23</v>
      </c>
      <c r="I44" s="5" t="s">
        <v>1172</v>
      </c>
      <c r="J44" s="5" t="s">
        <v>1173</v>
      </c>
      <c r="K44" s="5"/>
      <c r="L44" s="46" t="s">
        <v>671</v>
      </c>
      <c r="M44" s="5"/>
      <c r="N44" s="5"/>
      <c r="O44" s="5"/>
      <c r="P44" s="5"/>
    </row>
    <row r="45" spans="1:16" x14ac:dyDescent="0.25">
      <c r="A45" s="139" t="s">
        <v>87</v>
      </c>
      <c r="B45" s="140"/>
      <c r="C45" s="140"/>
      <c r="D45" s="140"/>
      <c r="E45" s="140"/>
      <c r="F45" s="140"/>
      <c r="G45" s="140"/>
      <c r="H45" s="140"/>
      <c r="I45" s="140"/>
      <c r="J45" s="140"/>
      <c r="K45" s="140"/>
      <c r="L45" s="140"/>
      <c r="M45" s="140"/>
      <c r="N45" s="140"/>
      <c r="O45" s="140"/>
      <c r="P45" s="140"/>
    </row>
    <row r="46" spans="1:16" x14ac:dyDescent="0.25">
      <c r="A46" s="139" t="s">
        <v>88</v>
      </c>
      <c r="B46" s="140"/>
      <c r="C46" s="140"/>
      <c r="D46" s="140"/>
      <c r="E46" s="140"/>
      <c r="F46" s="140"/>
      <c r="G46" s="140"/>
      <c r="H46" s="140"/>
      <c r="I46" s="140"/>
      <c r="J46" s="140"/>
      <c r="K46" s="140"/>
      <c r="L46" s="140"/>
      <c r="M46" s="140"/>
      <c r="N46" s="140"/>
      <c r="O46" s="140"/>
      <c r="P46" s="140"/>
    </row>
    <row r="47" spans="1:16" ht="36" x14ac:dyDescent="0.25">
      <c r="A47" s="4">
        <v>33</v>
      </c>
      <c r="B47" s="5" t="s">
        <v>17</v>
      </c>
      <c r="C47" s="5" t="s">
        <v>1223</v>
      </c>
      <c r="D47" s="5" t="s">
        <v>19</v>
      </c>
      <c r="E47" s="5" t="s">
        <v>20</v>
      </c>
      <c r="F47" s="5" t="s">
        <v>21</v>
      </c>
      <c r="G47" s="5" t="s">
        <v>22</v>
      </c>
      <c r="H47" s="5" t="s">
        <v>23</v>
      </c>
      <c r="I47" s="5" t="s">
        <v>1222</v>
      </c>
      <c r="J47" s="5" t="s">
        <v>1175</v>
      </c>
      <c r="K47" s="5"/>
      <c r="L47" s="46" t="s">
        <v>671</v>
      </c>
      <c r="M47" s="5"/>
      <c r="N47" s="5"/>
      <c r="O47" s="5"/>
      <c r="P47" s="5"/>
    </row>
    <row r="48" spans="1:16" ht="48" x14ac:dyDescent="0.25">
      <c r="A48" s="4">
        <v>34</v>
      </c>
      <c r="B48" s="5" t="s">
        <v>17</v>
      </c>
      <c r="C48" s="5" t="s">
        <v>1224</v>
      </c>
      <c r="D48" s="5" t="s">
        <v>27</v>
      </c>
      <c r="E48" s="5" t="s">
        <v>20</v>
      </c>
      <c r="F48" s="5" t="s">
        <v>21</v>
      </c>
      <c r="G48" s="5" t="s">
        <v>22</v>
      </c>
      <c r="H48" s="5" t="s">
        <v>23</v>
      </c>
      <c r="I48" s="5" t="s">
        <v>1221</v>
      </c>
      <c r="J48" s="5" t="s">
        <v>1090</v>
      </c>
      <c r="K48" s="5" t="s">
        <v>1089</v>
      </c>
      <c r="L48" s="46" t="s">
        <v>672</v>
      </c>
      <c r="M48" s="5"/>
      <c r="N48" s="5"/>
      <c r="O48" s="5"/>
      <c r="P48" s="5"/>
    </row>
    <row r="49" spans="1:16" ht="36" x14ac:dyDescent="0.25">
      <c r="A49" s="4">
        <v>35</v>
      </c>
      <c r="B49" s="5" t="s">
        <v>17</v>
      </c>
      <c r="C49" s="5" t="s">
        <v>1225</v>
      </c>
      <c r="D49" s="5" t="s">
        <v>30</v>
      </c>
      <c r="E49" s="5" t="s">
        <v>20</v>
      </c>
      <c r="F49" s="5" t="s">
        <v>21</v>
      </c>
      <c r="G49" s="5" t="s">
        <v>22</v>
      </c>
      <c r="H49" s="5" t="s">
        <v>23</v>
      </c>
      <c r="I49" s="5" t="s">
        <v>1220</v>
      </c>
      <c r="J49" s="5" t="s">
        <v>1175</v>
      </c>
      <c r="K49" s="5"/>
      <c r="L49" s="46" t="s">
        <v>671</v>
      </c>
      <c r="M49" s="5"/>
      <c r="N49" s="5"/>
      <c r="O49" s="5"/>
      <c r="P49" s="5"/>
    </row>
    <row r="50" spans="1:16" ht="64.2" customHeight="1" x14ac:dyDescent="0.25">
      <c r="A50" s="4">
        <v>36</v>
      </c>
      <c r="B50" s="57" t="s">
        <v>981</v>
      </c>
      <c r="C50" s="5" t="s">
        <v>1226</v>
      </c>
      <c r="D50" s="10" t="s">
        <v>1097</v>
      </c>
      <c r="E50" s="58" t="s">
        <v>20</v>
      </c>
      <c r="F50" s="9" t="s">
        <v>1094</v>
      </c>
      <c r="G50" s="9" t="s">
        <v>1095</v>
      </c>
      <c r="H50" s="59" t="s">
        <v>1098</v>
      </c>
      <c r="I50" s="60" t="s">
        <v>1219</v>
      </c>
      <c r="J50" s="61" t="s">
        <v>1176</v>
      </c>
      <c r="K50" s="5" t="s">
        <v>1106</v>
      </c>
      <c r="L50" s="46" t="s">
        <v>673</v>
      </c>
      <c r="M50" s="5"/>
      <c r="N50" s="5"/>
      <c r="O50" s="5"/>
      <c r="P50" s="5"/>
    </row>
    <row r="51" spans="1:16" ht="52.8" x14ac:dyDescent="0.25">
      <c r="A51" s="4">
        <v>37</v>
      </c>
      <c r="B51" s="57" t="s">
        <v>981</v>
      </c>
      <c r="C51" s="5" t="s">
        <v>1227</v>
      </c>
      <c r="D51" s="10" t="s">
        <v>1099</v>
      </c>
      <c r="E51" s="58" t="s">
        <v>20</v>
      </c>
      <c r="F51" s="9" t="s">
        <v>1094</v>
      </c>
      <c r="G51" s="9" t="s">
        <v>1100</v>
      </c>
      <c r="H51" s="59" t="s">
        <v>983</v>
      </c>
      <c r="I51" s="60" t="s">
        <v>1218</v>
      </c>
      <c r="J51" s="61" t="s">
        <v>1177</v>
      </c>
      <c r="K51" s="5"/>
      <c r="L51" s="46" t="s">
        <v>673</v>
      </c>
      <c r="M51" s="5"/>
      <c r="N51" s="5"/>
      <c r="O51" s="5"/>
      <c r="P51" s="5"/>
    </row>
    <row r="52" spans="1:16" ht="52.8" x14ac:dyDescent="0.25">
      <c r="A52" s="4">
        <v>38</v>
      </c>
      <c r="B52" s="57" t="s">
        <v>981</v>
      </c>
      <c r="C52" s="5" t="s">
        <v>1228</v>
      </c>
      <c r="D52" s="10" t="s">
        <v>1096</v>
      </c>
      <c r="E52" s="58" t="s">
        <v>20</v>
      </c>
      <c r="F52" s="9" t="s">
        <v>1094</v>
      </c>
      <c r="G52" s="9" t="s">
        <v>1095</v>
      </c>
      <c r="H52" s="59" t="s">
        <v>983</v>
      </c>
      <c r="I52" s="60" t="s">
        <v>1215</v>
      </c>
      <c r="J52" s="61" t="s">
        <v>1217</v>
      </c>
      <c r="K52" s="5"/>
      <c r="L52" s="46" t="s">
        <v>673</v>
      </c>
      <c r="M52" s="5"/>
      <c r="N52" s="5"/>
      <c r="O52" s="5"/>
      <c r="P52" s="5"/>
    </row>
    <row r="53" spans="1:16" ht="48" x14ac:dyDescent="0.25">
      <c r="A53" s="4">
        <v>39</v>
      </c>
      <c r="B53" s="5" t="s">
        <v>17</v>
      </c>
      <c r="C53" s="5" t="s">
        <v>1229</v>
      </c>
      <c r="D53" s="5" t="s">
        <v>34</v>
      </c>
      <c r="E53" s="5" t="s">
        <v>20</v>
      </c>
      <c r="F53" s="5" t="s">
        <v>21</v>
      </c>
      <c r="G53" s="5" t="s">
        <v>22</v>
      </c>
      <c r="H53" s="5" t="s">
        <v>23</v>
      </c>
      <c r="I53" s="5" t="s">
        <v>1214</v>
      </c>
      <c r="J53" s="5" t="s">
        <v>1216</v>
      </c>
      <c r="K53" s="5"/>
      <c r="L53" s="46" t="s">
        <v>671</v>
      </c>
      <c r="M53" s="5"/>
      <c r="N53" s="5"/>
      <c r="O53" s="5"/>
      <c r="P53" s="5"/>
    </row>
    <row r="54" spans="1:16" ht="48" x14ac:dyDescent="0.25">
      <c r="A54" s="4">
        <v>40</v>
      </c>
      <c r="B54" s="5" t="s">
        <v>17</v>
      </c>
      <c r="C54" s="5" t="s">
        <v>1230</v>
      </c>
      <c r="D54" s="5" t="s">
        <v>38</v>
      </c>
      <c r="E54" s="5" t="s">
        <v>20</v>
      </c>
      <c r="F54" s="5" t="s">
        <v>21</v>
      </c>
      <c r="G54" s="5" t="s">
        <v>22</v>
      </c>
      <c r="H54" s="5" t="s">
        <v>23</v>
      </c>
      <c r="I54" s="5" t="s">
        <v>1213</v>
      </c>
      <c r="J54" s="5" t="s">
        <v>1179</v>
      </c>
      <c r="K54" s="5" t="s">
        <v>1091</v>
      </c>
      <c r="L54" s="46" t="s">
        <v>672</v>
      </c>
      <c r="M54" s="5"/>
      <c r="N54" s="5"/>
      <c r="O54" s="5"/>
      <c r="P54" s="5"/>
    </row>
    <row r="55" spans="1:16" ht="58.2" customHeight="1" x14ac:dyDescent="0.25">
      <c r="A55" s="4">
        <v>41</v>
      </c>
      <c r="B55" s="5" t="s">
        <v>17</v>
      </c>
      <c r="C55" s="5" t="s">
        <v>1231</v>
      </c>
      <c r="D55" s="5" t="s">
        <v>40</v>
      </c>
      <c r="E55" s="5" t="s">
        <v>20</v>
      </c>
      <c r="F55" s="5" t="s">
        <v>21</v>
      </c>
      <c r="G55" s="5" t="s">
        <v>22</v>
      </c>
      <c r="H55" s="5" t="s">
        <v>23</v>
      </c>
      <c r="I55" s="5" t="s">
        <v>1212</v>
      </c>
      <c r="J55" s="5" t="s">
        <v>1178</v>
      </c>
      <c r="K55" s="5"/>
      <c r="L55" s="46" t="s">
        <v>671</v>
      </c>
      <c r="M55" s="5"/>
      <c r="N55" s="5"/>
      <c r="O55" s="5"/>
      <c r="P55" s="5"/>
    </row>
    <row r="56" spans="1:16" x14ac:dyDescent="0.25">
      <c r="A56" s="139" t="s">
        <v>1257</v>
      </c>
      <c r="B56" s="140"/>
      <c r="C56" s="140"/>
      <c r="D56" s="140"/>
      <c r="E56" s="140"/>
      <c r="F56" s="140"/>
      <c r="G56" s="140"/>
      <c r="H56" s="140"/>
      <c r="I56" s="140"/>
      <c r="J56" s="140"/>
      <c r="K56" s="140"/>
      <c r="L56" s="140"/>
      <c r="M56" s="140"/>
      <c r="N56" s="140"/>
      <c r="O56" s="140"/>
      <c r="P56" s="140"/>
    </row>
    <row r="57" spans="1:16" ht="52.8" x14ac:dyDescent="0.25">
      <c r="A57" s="4">
        <v>42</v>
      </c>
      <c r="B57" s="51" t="s">
        <v>1108</v>
      </c>
      <c r="C57" s="5" t="s">
        <v>1232</v>
      </c>
      <c r="D57" s="62" t="s">
        <v>1109</v>
      </c>
      <c r="E57" s="58" t="s">
        <v>20</v>
      </c>
      <c r="F57" s="5" t="s">
        <v>21</v>
      </c>
      <c r="G57" s="9" t="s">
        <v>1095</v>
      </c>
      <c r="H57" s="59" t="s">
        <v>1110</v>
      </c>
      <c r="I57" s="63" t="s">
        <v>1209</v>
      </c>
      <c r="J57" s="64" t="s">
        <v>1128</v>
      </c>
      <c r="K57" s="5"/>
      <c r="L57" s="46" t="s">
        <v>671</v>
      </c>
      <c r="M57" s="5"/>
      <c r="N57" s="5"/>
      <c r="O57" s="5"/>
      <c r="P57" s="5"/>
    </row>
    <row r="58" spans="1:16" ht="52.8" x14ac:dyDescent="0.25">
      <c r="A58" s="4">
        <v>43</v>
      </c>
      <c r="B58" s="51" t="s">
        <v>981</v>
      </c>
      <c r="C58" s="5" t="s">
        <v>1233</v>
      </c>
      <c r="D58" s="10" t="s">
        <v>1111</v>
      </c>
      <c r="E58" s="58" t="s">
        <v>20</v>
      </c>
      <c r="F58" s="5" t="s">
        <v>21</v>
      </c>
      <c r="G58" s="9" t="s">
        <v>1095</v>
      </c>
      <c r="H58" s="59" t="s">
        <v>983</v>
      </c>
      <c r="I58" s="65" t="s">
        <v>1211</v>
      </c>
      <c r="J58" s="66" t="s">
        <v>1128</v>
      </c>
      <c r="K58" s="5"/>
      <c r="L58" s="46" t="s">
        <v>671</v>
      </c>
      <c r="M58" s="5"/>
      <c r="N58" s="5"/>
      <c r="O58" s="5"/>
      <c r="P58" s="5"/>
    </row>
    <row r="59" spans="1:16" ht="66" x14ac:dyDescent="0.25">
      <c r="A59" s="4">
        <v>44</v>
      </c>
      <c r="B59" s="51" t="s">
        <v>981</v>
      </c>
      <c r="C59" s="5" t="s">
        <v>1234</v>
      </c>
      <c r="D59" s="10" t="s">
        <v>1112</v>
      </c>
      <c r="E59" s="58" t="s">
        <v>20</v>
      </c>
      <c r="F59" s="5" t="s">
        <v>21</v>
      </c>
      <c r="G59" s="9" t="s">
        <v>1095</v>
      </c>
      <c r="H59" s="59" t="s">
        <v>983</v>
      </c>
      <c r="I59" s="65" t="s">
        <v>1208</v>
      </c>
      <c r="J59" s="66" t="s">
        <v>1210</v>
      </c>
      <c r="K59" s="5"/>
      <c r="L59" s="46" t="s">
        <v>671</v>
      </c>
      <c r="M59" s="5"/>
      <c r="N59" s="5"/>
      <c r="O59" s="5"/>
      <c r="P59" s="5"/>
    </row>
    <row r="60" spans="1:16" ht="66" x14ac:dyDescent="0.25">
      <c r="A60" s="4">
        <v>45</v>
      </c>
      <c r="B60" s="51" t="s">
        <v>981</v>
      </c>
      <c r="C60" s="5" t="s">
        <v>1235</v>
      </c>
      <c r="D60" s="10" t="s">
        <v>1113</v>
      </c>
      <c r="E60" s="58" t="s">
        <v>20</v>
      </c>
      <c r="F60" s="5" t="s">
        <v>21</v>
      </c>
      <c r="G60" s="9" t="s">
        <v>1114</v>
      </c>
      <c r="H60" s="59" t="s">
        <v>1110</v>
      </c>
      <c r="I60" s="65" t="s">
        <v>1207</v>
      </c>
      <c r="J60" s="66" t="s">
        <v>1140</v>
      </c>
      <c r="K60" s="5"/>
      <c r="L60" s="46" t="s">
        <v>673</v>
      </c>
      <c r="M60" s="5"/>
      <c r="N60" s="5"/>
      <c r="O60" s="5"/>
      <c r="P60" s="5"/>
    </row>
    <row r="61" spans="1:16" ht="66" x14ac:dyDescent="0.25">
      <c r="A61" s="4">
        <v>46</v>
      </c>
      <c r="B61" s="51" t="s">
        <v>1115</v>
      </c>
      <c r="C61" s="5" t="s">
        <v>1236</v>
      </c>
      <c r="D61" s="10" t="s">
        <v>1116</v>
      </c>
      <c r="E61" s="58" t="s">
        <v>20</v>
      </c>
      <c r="F61" s="5" t="s">
        <v>21</v>
      </c>
      <c r="G61" s="9" t="s">
        <v>1117</v>
      </c>
      <c r="H61" s="59" t="s">
        <v>1118</v>
      </c>
      <c r="I61" s="65" t="s">
        <v>1206</v>
      </c>
      <c r="J61" s="66" t="s">
        <v>1138</v>
      </c>
      <c r="K61" s="5"/>
      <c r="L61" s="46" t="s">
        <v>673</v>
      </c>
      <c r="M61" s="5"/>
      <c r="N61" s="5"/>
      <c r="O61" s="5"/>
      <c r="P61" s="5"/>
    </row>
    <row r="62" spans="1:16" ht="66" x14ac:dyDescent="0.25">
      <c r="A62" s="4">
        <v>47</v>
      </c>
      <c r="B62" s="51" t="s">
        <v>1115</v>
      </c>
      <c r="C62" s="5" t="s">
        <v>1237</v>
      </c>
      <c r="D62" s="10" t="s">
        <v>1119</v>
      </c>
      <c r="E62" s="58" t="s">
        <v>20</v>
      </c>
      <c r="F62" s="5" t="s">
        <v>21</v>
      </c>
      <c r="G62" s="9" t="s">
        <v>1095</v>
      </c>
      <c r="H62" s="59" t="s">
        <v>1120</v>
      </c>
      <c r="I62" s="65" t="s">
        <v>1205</v>
      </c>
      <c r="J62" s="66" t="s">
        <v>1132</v>
      </c>
      <c r="K62" s="5"/>
      <c r="L62" s="46" t="s">
        <v>673</v>
      </c>
      <c r="M62" s="5"/>
      <c r="N62" s="5"/>
      <c r="O62" s="5"/>
      <c r="P62" s="5"/>
    </row>
    <row r="63" spans="1:16" ht="66" x14ac:dyDescent="0.25">
      <c r="A63" s="4">
        <v>48</v>
      </c>
      <c r="B63" s="51" t="s">
        <v>981</v>
      </c>
      <c r="C63" s="5" t="s">
        <v>1238</v>
      </c>
      <c r="D63" s="10" t="s">
        <v>1121</v>
      </c>
      <c r="E63" s="58" t="s">
        <v>20</v>
      </c>
      <c r="F63" s="5" t="s">
        <v>21</v>
      </c>
      <c r="G63" s="9" t="s">
        <v>1117</v>
      </c>
      <c r="H63" s="59" t="s">
        <v>983</v>
      </c>
      <c r="I63" s="65" t="s">
        <v>1204</v>
      </c>
      <c r="J63" s="66" t="s">
        <v>1133</v>
      </c>
      <c r="K63" s="5"/>
      <c r="L63" s="46" t="s">
        <v>671</v>
      </c>
      <c r="M63" s="5"/>
      <c r="N63" s="5"/>
      <c r="O63" s="5"/>
      <c r="P63" s="5"/>
    </row>
    <row r="64" spans="1:16" ht="52.8" x14ac:dyDescent="0.25">
      <c r="A64" s="4">
        <v>49</v>
      </c>
      <c r="B64" s="51" t="s">
        <v>981</v>
      </c>
      <c r="C64" s="5" t="s">
        <v>1239</v>
      </c>
      <c r="D64" s="10" t="s">
        <v>1122</v>
      </c>
      <c r="E64" s="58" t="s">
        <v>20</v>
      </c>
      <c r="F64" s="5" t="s">
        <v>21</v>
      </c>
      <c r="G64" s="9" t="s">
        <v>1095</v>
      </c>
      <c r="H64" s="59" t="s">
        <v>1118</v>
      </c>
      <c r="I64" s="65" t="s">
        <v>1203</v>
      </c>
      <c r="J64" s="66" t="s">
        <v>1136</v>
      </c>
      <c r="K64" s="5"/>
      <c r="L64" s="46" t="s">
        <v>671</v>
      </c>
      <c r="M64" s="5"/>
      <c r="N64" s="5"/>
      <c r="O64" s="5"/>
      <c r="P64" s="5"/>
    </row>
    <row r="65" spans="1:16" ht="52.8" x14ac:dyDescent="0.25">
      <c r="A65" s="4">
        <v>50</v>
      </c>
      <c r="B65" s="51" t="s">
        <v>1123</v>
      </c>
      <c r="C65" s="5" t="s">
        <v>1240</v>
      </c>
      <c r="D65" s="67" t="s">
        <v>1124</v>
      </c>
      <c r="E65" s="58" t="s">
        <v>20</v>
      </c>
      <c r="F65" s="5" t="s">
        <v>21</v>
      </c>
      <c r="G65" s="9" t="s">
        <v>1095</v>
      </c>
      <c r="H65" s="59" t="s">
        <v>983</v>
      </c>
      <c r="I65" s="68" t="s">
        <v>1201</v>
      </c>
      <c r="J65" s="69" t="s">
        <v>1202</v>
      </c>
      <c r="K65" s="5"/>
      <c r="L65" s="46" t="s">
        <v>671</v>
      </c>
      <c r="M65" s="5"/>
      <c r="N65" s="5"/>
      <c r="O65" s="5"/>
      <c r="P65" s="5"/>
    </row>
    <row r="66" spans="1:16" x14ac:dyDescent="0.25">
      <c r="A66" s="139" t="s">
        <v>1258</v>
      </c>
      <c r="B66" s="140"/>
      <c r="C66" s="140"/>
      <c r="D66" s="140"/>
      <c r="E66" s="140"/>
      <c r="F66" s="140"/>
      <c r="G66" s="140"/>
      <c r="H66" s="140"/>
      <c r="I66" s="140"/>
      <c r="J66" s="140"/>
      <c r="K66" s="140"/>
      <c r="L66" s="140"/>
      <c r="M66" s="140"/>
      <c r="N66" s="140"/>
      <c r="O66" s="140"/>
      <c r="P66" s="140"/>
    </row>
    <row r="67" spans="1:16" ht="92.4" x14ac:dyDescent="0.25">
      <c r="A67" s="4">
        <v>51</v>
      </c>
      <c r="B67" s="5" t="s">
        <v>17</v>
      </c>
      <c r="C67" s="5" t="s">
        <v>1241</v>
      </c>
      <c r="D67" s="5" t="s">
        <v>1145</v>
      </c>
      <c r="E67" s="5" t="s">
        <v>20</v>
      </c>
      <c r="F67" s="5" t="s">
        <v>21</v>
      </c>
      <c r="G67" s="5" t="s">
        <v>22</v>
      </c>
      <c r="H67" s="5" t="s">
        <v>23</v>
      </c>
      <c r="I67" s="63" t="s">
        <v>1200</v>
      </c>
      <c r="J67" s="64" t="s">
        <v>1180</v>
      </c>
      <c r="K67" s="70" t="s">
        <v>1144</v>
      </c>
      <c r="L67" s="46" t="s">
        <v>673</v>
      </c>
      <c r="M67" s="7"/>
      <c r="N67" s="7"/>
      <c r="O67" s="7"/>
      <c r="P67" s="7"/>
    </row>
    <row r="68" spans="1:16" ht="92.4" x14ac:dyDescent="0.25">
      <c r="A68" s="4">
        <v>52</v>
      </c>
      <c r="B68" s="5" t="s">
        <v>17</v>
      </c>
      <c r="C68" s="5" t="s">
        <v>1242</v>
      </c>
      <c r="D68" s="5" t="s">
        <v>51</v>
      </c>
      <c r="E68" s="5" t="s">
        <v>20</v>
      </c>
      <c r="F68" s="5" t="s">
        <v>21</v>
      </c>
      <c r="G68" s="5" t="s">
        <v>22</v>
      </c>
      <c r="H68" s="5" t="s">
        <v>23</v>
      </c>
      <c r="I68" s="63" t="s">
        <v>1199</v>
      </c>
      <c r="J68" s="66" t="s">
        <v>1181</v>
      </c>
      <c r="K68" s="7"/>
      <c r="L68" s="46" t="s">
        <v>673</v>
      </c>
      <c r="M68" s="7"/>
      <c r="N68" s="7"/>
      <c r="O68" s="7"/>
      <c r="P68" s="7"/>
    </row>
    <row r="69" spans="1:16" ht="118.8" x14ac:dyDescent="0.25">
      <c r="A69" s="4">
        <v>53</v>
      </c>
      <c r="B69" s="5" t="s">
        <v>17</v>
      </c>
      <c r="C69" s="5" t="s">
        <v>1243</v>
      </c>
      <c r="D69" s="5" t="s">
        <v>1146</v>
      </c>
      <c r="E69" s="5" t="s">
        <v>20</v>
      </c>
      <c r="F69" s="5" t="s">
        <v>21</v>
      </c>
      <c r="G69" s="5" t="s">
        <v>22</v>
      </c>
      <c r="H69" s="5" t="s">
        <v>23</v>
      </c>
      <c r="I69" s="63" t="s">
        <v>1198</v>
      </c>
      <c r="J69" s="69" t="s">
        <v>1182</v>
      </c>
      <c r="K69" s="5"/>
      <c r="L69" s="46" t="s">
        <v>671</v>
      </c>
      <c r="M69" s="5"/>
      <c r="N69" s="5"/>
      <c r="O69" s="5"/>
      <c r="P69" s="5"/>
    </row>
    <row r="70" spans="1:16" x14ac:dyDescent="0.25">
      <c r="A70" s="139" t="s">
        <v>1259</v>
      </c>
      <c r="B70" s="140"/>
      <c r="C70" s="140"/>
      <c r="D70" s="140"/>
      <c r="E70" s="140"/>
      <c r="F70" s="140"/>
      <c r="G70" s="140"/>
      <c r="H70" s="140"/>
      <c r="I70" s="140"/>
      <c r="J70" s="140"/>
      <c r="K70" s="140"/>
      <c r="L70" s="140"/>
      <c r="M70" s="140"/>
      <c r="N70" s="140"/>
      <c r="O70" s="140"/>
      <c r="P70" s="140"/>
    </row>
    <row r="71" spans="1:16" ht="108" x14ac:dyDescent="0.25">
      <c r="A71" s="4">
        <v>54</v>
      </c>
      <c r="B71" s="5" t="s">
        <v>17</v>
      </c>
      <c r="C71" s="5" t="s">
        <v>1244</v>
      </c>
      <c r="D71" s="5" t="s">
        <v>54</v>
      </c>
      <c r="E71" s="5" t="s">
        <v>55</v>
      </c>
      <c r="F71" s="5" t="s">
        <v>21</v>
      </c>
      <c r="G71" s="5" t="s">
        <v>22</v>
      </c>
      <c r="H71" s="5" t="s">
        <v>23</v>
      </c>
      <c r="I71" s="5" t="s">
        <v>1197</v>
      </c>
      <c r="J71" s="5" t="s">
        <v>1183</v>
      </c>
      <c r="K71" s="5"/>
      <c r="L71" s="46" t="s">
        <v>671</v>
      </c>
      <c r="M71" s="5"/>
      <c r="N71" s="5"/>
      <c r="O71" s="5"/>
      <c r="P71" s="5"/>
    </row>
    <row r="72" spans="1:16" ht="132" x14ac:dyDescent="0.25">
      <c r="A72" s="4">
        <v>55</v>
      </c>
      <c r="B72" s="5" t="s">
        <v>17</v>
      </c>
      <c r="C72" s="5" t="s">
        <v>1245</v>
      </c>
      <c r="D72" s="5" t="s">
        <v>57</v>
      </c>
      <c r="E72" s="5" t="s">
        <v>55</v>
      </c>
      <c r="F72" s="5" t="s">
        <v>1156</v>
      </c>
      <c r="G72" s="5" t="s">
        <v>22</v>
      </c>
      <c r="H72" s="5" t="s">
        <v>23</v>
      </c>
      <c r="I72" s="5" t="s">
        <v>1196</v>
      </c>
      <c r="J72" s="5" t="s">
        <v>1153</v>
      </c>
      <c r="K72" s="5" t="s">
        <v>1174</v>
      </c>
      <c r="L72" s="46" t="s">
        <v>672</v>
      </c>
      <c r="M72" s="5"/>
      <c r="N72" s="5"/>
      <c r="O72" s="5"/>
      <c r="P72" s="5"/>
    </row>
    <row r="73" spans="1:16" x14ac:dyDescent="0.25">
      <c r="A73" s="139" t="s">
        <v>1260</v>
      </c>
      <c r="B73" s="140"/>
      <c r="C73" s="140"/>
      <c r="D73" s="140"/>
      <c r="E73" s="140"/>
      <c r="F73" s="140"/>
      <c r="G73" s="140"/>
      <c r="H73" s="140"/>
      <c r="I73" s="140"/>
      <c r="J73" s="140"/>
      <c r="K73" s="140"/>
      <c r="L73" s="140"/>
      <c r="M73" s="140"/>
      <c r="N73" s="140"/>
      <c r="O73" s="140"/>
      <c r="P73" s="140"/>
    </row>
    <row r="74" spans="1:16" ht="48" x14ac:dyDescent="0.25">
      <c r="A74" s="4">
        <v>56</v>
      </c>
      <c r="B74" s="5" t="s">
        <v>17</v>
      </c>
      <c r="C74" s="5" t="s">
        <v>1246</v>
      </c>
      <c r="D74" s="5" t="s">
        <v>60</v>
      </c>
      <c r="E74" s="5" t="s">
        <v>61</v>
      </c>
      <c r="F74" s="5" t="s">
        <v>21</v>
      </c>
      <c r="G74" s="5" t="s">
        <v>22</v>
      </c>
      <c r="H74" s="5" t="s">
        <v>23</v>
      </c>
      <c r="I74" s="5" t="s">
        <v>1184</v>
      </c>
      <c r="J74" s="5" t="s">
        <v>63</v>
      </c>
      <c r="K74" s="5"/>
      <c r="L74" s="46" t="s">
        <v>671</v>
      </c>
      <c r="M74" s="5"/>
      <c r="N74" s="5"/>
      <c r="O74" s="5"/>
      <c r="P74" s="5"/>
    </row>
    <row r="75" spans="1:16" ht="72" x14ac:dyDescent="0.25">
      <c r="A75" s="4">
        <v>57</v>
      </c>
      <c r="B75" s="5" t="s">
        <v>17</v>
      </c>
      <c r="C75" s="5" t="s">
        <v>1247</v>
      </c>
      <c r="D75" s="5" t="s">
        <v>65</v>
      </c>
      <c r="E75" s="5" t="s">
        <v>61</v>
      </c>
      <c r="F75" s="5" t="s">
        <v>21</v>
      </c>
      <c r="G75" s="5" t="s">
        <v>22</v>
      </c>
      <c r="H75" s="5" t="s">
        <v>23</v>
      </c>
      <c r="I75" s="5" t="s">
        <v>1195</v>
      </c>
      <c r="J75" s="5" t="s">
        <v>1185</v>
      </c>
      <c r="K75" s="5"/>
      <c r="L75" s="46" t="s">
        <v>671</v>
      </c>
      <c r="M75" s="5"/>
      <c r="N75" s="5"/>
      <c r="O75" s="5"/>
      <c r="P75" s="5"/>
    </row>
    <row r="76" spans="1:16" x14ac:dyDescent="0.25">
      <c r="A76" s="139" t="s">
        <v>1261</v>
      </c>
      <c r="B76" s="140"/>
      <c r="C76" s="140"/>
      <c r="D76" s="140"/>
      <c r="E76" s="140"/>
      <c r="F76" s="140"/>
      <c r="G76" s="140"/>
      <c r="H76" s="140"/>
      <c r="I76" s="140"/>
      <c r="J76" s="140"/>
      <c r="K76" s="140"/>
      <c r="L76" s="140"/>
      <c r="M76" s="140"/>
      <c r="N76" s="140"/>
      <c r="O76" s="140"/>
      <c r="P76" s="140"/>
    </row>
    <row r="77" spans="1:16" ht="72" x14ac:dyDescent="0.25">
      <c r="A77" s="4">
        <v>18</v>
      </c>
      <c r="B77" s="5" t="s">
        <v>17</v>
      </c>
      <c r="C77" s="5" t="s">
        <v>1248</v>
      </c>
      <c r="D77" s="5" t="s">
        <v>70</v>
      </c>
      <c r="E77" s="5" t="s">
        <v>20</v>
      </c>
      <c r="F77" s="5" t="s">
        <v>21</v>
      </c>
      <c r="G77" s="5" t="s">
        <v>22</v>
      </c>
      <c r="H77" s="5" t="s">
        <v>23</v>
      </c>
      <c r="I77" s="5" t="s">
        <v>1194</v>
      </c>
      <c r="J77" s="5" t="s">
        <v>1186</v>
      </c>
      <c r="K77" s="5"/>
      <c r="L77" s="46" t="s">
        <v>671</v>
      </c>
      <c r="M77" s="5"/>
      <c r="N77" s="5"/>
      <c r="O77" s="5"/>
      <c r="P77" s="5"/>
    </row>
    <row r="78" spans="1:16" ht="72" x14ac:dyDescent="0.25">
      <c r="A78" s="4">
        <v>19</v>
      </c>
      <c r="B78" s="5" t="s">
        <v>17</v>
      </c>
      <c r="C78" s="5" t="s">
        <v>1249</v>
      </c>
      <c r="D78" s="5" t="s">
        <v>71</v>
      </c>
      <c r="E78" s="5" t="s">
        <v>20</v>
      </c>
      <c r="F78" s="5" t="s">
        <v>21</v>
      </c>
      <c r="G78" s="5" t="s">
        <v>22</v>
      </c>
      <c r="H78" s="5" t="s">
        <v>23</v>
      </c>
      <c r="I78" s="5" t="s">
        <v>1193</v>
      </c>
      <c r="J78" s="5" t="s">
        <v>1186</v>
      </c>
      <c r="K78" s="5"/>
      <c r="L78" s="46" t="s">
        <v>671</v>
      </c>
      <c r="M78" s="5"/>
      <c r="N78" s="5"/>
      <c r="O78" s="5"/>
      <c r="P78" s="5"/>
    </row>
    <row r="79" spans="1:16" x14ac:dyDescent="0.25">
      <c r="A79" s="139" t="s">
        <v>1262</v>
      </c>
      <c r="B79" s="140"/>
      <c r="C79" s="140"/>
      <c r="D79" s="140"/>
      <c r="E79" s="140"/>
      <c r="F79" s="140"/>
      <c r="G79" s="140"/>
      <c r="H79" s="140"/>
      <c r="I79" s="140"/>
      <c r="J79" s="140"/>
      <c r="K79" s="140"/>
      <c r="L79" s="140"/>
      <c r="M79" s="140"/>
      <c r="N79" s="140"/>
      <c r="O79" s="140"/>
      <c r="P79" s="140"/>
    </row>
    <row r="80" spans="1:16" ht="36" x14ac:dyDescent="0.25">
      <c r="A80" s="4">
        <v>20</v>
      </c>
      <c r="B80" s="5" t="s">
        <v>17</v>
      </c>
      <c r="C80" s="5" t="s">
        <v>1250</v>
      </c>
      <c r="D80" s="5" t="s">
        <v>74</v>
      </c>
      <c r="E80" s="5" t="s">
        <v>55</v>
      </c>
      <c r="F80" s="5" t="s">
        <v>21</v>
      </c>
      <c r="G80" s="5" t="s">
        <v>22</v>
      </c>
      <c r="H80" s="5" t="s">
        <v>23</v>
      </c>
      <c r="I80" s="5" t="s">
        <v>1192</v>
      </c>
      <c r="J80" s="5" t="s">
        <v>76</v>
      </c>
      <c r="K80" s="5"/>
      <c r="L80" s="46" t="s">
        <v>671</v>
      </c>
      <c r="M80" s="5"/>
      <c r="N80" s="5"/>
      <c r="O80" s="5"/>
      <c r="P80" s="5"/>
    </row>
    <row r="81" spans="1:16" ht="36" x14ac:dyDescent="0.25">
      <c r="A81" s="4">
        <v>21</v>
      </c>
      <c r="B81" s="5" t="s">
        <v>17</v>
      </c>
      <c r="C81" s="5" t="s">
        <v>1251</v>
      </c>
      <c r="D81" s="5" t="s">
        <v>78</v>
      </c>
      <c r="E81" s="5" t="s">
        <v>55</v>
      </c>
      <c r="F81" s="5" t="s">
        <v>21</v>
      </c>
      <c r="G81" s="5" t="s">
        <v>22</v>
      </c>
      <c r="H81" s="5" t="s">
        <v>23</v>
      </c>
      <c r="I81" s="5" t="s">
        <v>1191</v>
      </c>
      <c r="J81" s="5" t="s">
        <v>1187</v>
      </c>
      <c r="K81" s="5"/>
      <c r="L81" s="46" t="s">
        <v>671</v>
      </c>
      <c r="M81" s="5"/>
      <c r="N81" s="5"/>
      <c r="O81" s="5"/>
      <c r="P81" s="5"/>
    </row>
    <row r="82" spans="1:16" x14ac:dyDescent="0.25">
      <c r="A82" s="139" t="s">
        <v>1263</v>
      </c>
      <c r="B82" s="140"/>
      <c r="C82" s="140"/>
      <c r="D82" s="140"/>
      <c r="E82" s="140"/>
      <c r="F82" s="140"/>
      <c r="G82" s="140"/>
      <c r="H82" s="140"/>
      <c r="I82" s="140"/>
      <c r="J82" s="140"/>
      <c r="K82" s="140"/>
      <c r="L82" s="140"/>
      <c r="M82" s="140"/>
      <c r="N82" s="140"/>
      <c r="O82" s="140"/>
      <c r="P82" s="140"/>
    </row>
    <row r="83" spans="1:16" ht="36" x14ac:dyDescent="0.25">
      <c r="A83" s="4">
        <v>22</v>
      </c>
      <c r="B83" s="5" t="s">
        <v>17</v>
      </c>
      <c r="C83" s="5" t="s">
        <v>1252</v>
      </c>
      <c r="D83" s="5" t="s">
        <v>82</v>
      </c>
      <c r="E83" s="5" t="s">
        <v>20</v>
      </c>
      <c r="F83" s="5" t="s">
        <v>21</v>
      </c>
      <c r="G83" s="5" t="s">
        <v>22</v>
      </c>
      <c r="H83" s="5" t="s">
        <v>23</v>
      </c>
      <c r="I83" s="5" t="s">
        <v>1190</v>
      </c>
      <c r="J83" s="5" t="s">
        <v>76</v>
      </c>
      <c r="K83" s="5"/>
      <c r="L83" s="46" t="s">
        <v>671</v>
      </c>
      <c r="M83" s="5"/>
      <c r="N83" s="5"/>
      <c r="O83" s="5"/>
      <c r="P83" s="5"/>
    </row>
    <row r="84" spans="1:16" ht="36" x14ac:dyDescent="0.25">
      <c r="A84" s="4">
        <v>23</v>
      </c>
      <c r="B84" s="5" t="s">
        <v>17</v>
      </c>
      <c r="C84" s="5" t="s">
        <v>1253</v>
      </c>
      <c r="D84" s="5" t="s">
        <v>84</v>
      </c>
      <c r="E84" s="5" t="s">
        <v>20</v>
      </c>
      <c r="F84" s="5" t="s">
        <v>21</v>
      </c>
      <c r="G84" s="5" t="s">
        <v>22</v>
      </c>
      <c r="H84" s="5" t="s">
        <v>23</v>
      </c>
      <c r="I84" s="5" t="s">
        <v>1189</v>
      </c>
      <c r="J84" s="5" t="s">
        <v>1188</v>
      </c>
      <c r="K84" s="5"/>
      <c r="L84" s="46" t="s">
        <v>671</v>
      </c>
      <c r="M84" s="5"/>
      <c r="N84" s="5"/>
      <c r="O84" s="5"/>
      <c r="P84" s="5"/>
    </row>
    <row r="85" spans="1:16" ht="86.4" customHeight="1" x14ac:dyDescent="0.25">
      <c r="A85" s="4">
        <v>25</v>
      </c>
      <c r="B85" s="5" t="s">
        <v>17</v>
      </c>
      <c r="C85" s="5" t="s">
        <v>1254</v>
      </c>
      <c r="D85" s="5" t="s">
        <v>1171</v>
      </c>
      <c r="E85" s="5" t="s">
        <v>20</v>
      </c>
      <c r="F85" s="5" t="s">
        <v>21</v>
      </c>
      <c r="G85" s="5" t="s">
        <v>22</v>
      </c>
      <c r="H85" s="5" t="s">
        <v>23</v>
      </c>
      <c r="I85" s="5" t="s">
        <v>1256</v>
      </c>
      <c r="J85" s="5" t="s">
        <v>1255</v>
      </c>
      <c r="K85" s="5"/>
      <c r="L85" s="46" t="s">
        <v>671</v>
      </c>
      <c r="M85" s="5"/>
      <c r="N85" s="5"/>
      <c r="O85" s="5"/>
      <c r="P85" s="5"/>
    </row>
    <row r="86" spans="1:16" s="7" customFormat="1" x14ac:dyDescent="0.25">
      <c r="A86" s="141" t="s">
        <v>1264</v>
      </c>
      <c r="B86" s="140"/>
      <c r="C86" s="140"/>
      <c r="D86" s="140"/>
      <c r="E86" s="140"/>
      <c r="F86" s="140"/>
      <c r="G86" s="140"/>
      <c r="H86" s="140"/>
      <c r="I86" s="140"/>
      <c r="J86" s="140"/>
      <c r="K86" s="140"/>
      <c r="L86" s="140"/>
      <c r="M86" s="140"/>
      <c r="N86" s="140"/>
      <c r="O86" s="140"/>
      <c r="P86" s="140"/>
    </row>
    <row r="87" spans="1:16" s="7" customFormat="1" x14ac:dyDescent="0.25">
      <c r="A87" s="139" t="s">
        <v>1265</v>
      </c>
      <c r="B87" s="140"/>
      <c r="C87" s="140"/>
      <c r="D87" s="140"/>
      <c r="E87" s="140"/>
      <c r="F87" s="140"/>
      <c r="G87" s="140"/>
      <c r="H87" s="140"/>
      <c r="I87" s="140"/>
      <c r="J87" s="140"/>
      <c r="K87" s="140"/>
      <c r="L87" s="140"/>
      <c r="M87" s="140"/>
      <c r="N87" s="140"/>
      <c r="O87" s="140"/>
      <c r="P87" s="140"/>
    </row>
    <row r="88" spans="1:16" s="7" customFormat="1" ht="36" x14ac:dyDescent="0.25">
      <c r="A88" s="4">
        <v>1</v>
      </c>
      <c r="B88" s="5" t="s">
        <v>17</v>
      </c>
      <c r="C88" s="5" t="s">
        <v>1282</v>
      </c>
      <c r="D88" s="5" t="s">
        <v>19</v>
      </c>
      <c r="E88" s="5" t="s">
        <v>20</v>
      </c>
      <c r="F88" s="5" t="s">
        <v>21</v>
      </c>
      <c r="G88" s="5" t="s">
        <v>22</v>
      </c>
      <c r="H88" s="5" t="s">
        <v>23</v>
      </c>
      <c r="I88" s="5" t="s">
        <v>24</v>
      </c>
      <c r="J88" s="5" t="s">
        <v>25</v>
      </c>
      <c r="K88" s="5"/>
      <c r="L88" s="46" t="s">
        <v>671</v>
      </c>
      <c r="M88" s="5"/>
      <c r="N88" s="5"/>
      <c r="O88" s="5"/>
      <c r="P88" s="5"/>
    </row>
    <row r="89" spans="1:16" s="7" customFormat="1" ht="48" x14ac:dyDescent="0.25">
      <c r="A89" s="4">
        <v>2</v>
      </c>
      <c r="B89" s="5" t="s">
        <v>17</v>
      </c>
      <c r="C89" s="5" t="s">
        <v>1283</v>
      </c>
      <c r="D89" s="5" t="s">
        <v>27</v>
      </c>
      <c r="E89" s="5" t="s">
        <v>20</v>
      </c>
      <c r="F89" s="5" t="s">
        <v>21</v>
      </c>
      <c r="G89" s="5" t="s">
        <v>22</v>
      </c>
      <c r="H89" s="5" t="s">
        <v>23</v>
      </c>
      <c r="I89" s="5" t="s">
        <v>28</v>
      </c>
      <c r="J89" s="5" t="s">
        <v>1090</v>
      </c>
      <c r="K89" s="5" t="s">
        <v>1089</v>
      </c>
      <c r="L89" s="46" t="s">
        <v>672</v>
      </c>
      <c r="M89" s="5"/>
      <c r="N89" s="5"/>
      <c r="O89" s="5"/>
      <c r="P89" s="5"/>
    </row>
    <row r="90" spans="1:16" s="7" customFormat="1" ht="36" x14ac:dyDescent="0.25">
      <c r="A90" s="4">
        <v>3</v>
      </c>
      <c r="B90" s="5" t="s">
        <v>17</v>
      </c>
      <c r="C90" s="5" t="s">
        <v>1284</v>
      </c>
      <c r="D90" s="5" t="s">
        <v>30</v>
      </c>
      <c r="E90" s="5" t="s">
        <v>20</v>
      </c>
      <c r="F90" s="5" t="s">
        <v>21</v>
      </c>
      <c r="G90" s="5" t="s">
        <v>22</v>
      </c>
      <c r="H90" s="5" t="s">
        <v>23</v>
      </c>
      <c r="I90" s="5" t="s">
        <v>31</v>
      </c>
      <c r="J90" s="5" t="s">
        <v>32</v>
      </c>
      <c r="K90" s="5"/>
      <c r="L90" s="46" t="s">
        <v>671</v>
      </c>
      <c r="M90" s="5"/>
      <c r="N90" s="5"/>
      <c r="O90" s="5"/>
      <c r="P90" s="5"/>
    </row>
    <row r="91" spans="1:16" s="7" customFormat="1" ht="62.4" customHeight="1" x14ac:dyDescent="0.25">
      <c r="A91" s="56">
        <f>MAX($A$1:A90)+1</f>
        <v>58</v>
      </c>
      <c r="B91" s="57" t="s">
        <v>981</v>
      </c>
      <c r="C91" s="5" t="s">
        <v>1285</v>
      </c>
      <c r="D91" s="10" t="s">
        <v>1097</v>
      </c>
      <c r="E91" s="58" t="s">
        <v>20</v>
      </c>
      <c r="F91" s="9" t="s">
        <v>1094</v>
      </c>
      <c r="G91" s="9" t="s">
        <v>1095</v>
      </c>
      <c r="H91" s="59" t="s">
        <v>1098</v>
      </c>
      <c r="I91" s="60" t="s">
        <v>1101</v>
      </c>
      <c r="J91" s="61" t="s">
        <v>1102</v>
      </c>
      <c r="K91" s="5" t="s">
        <v>1106</v>
      </c>
      <c r="L91" s="46" t="s">
        <v>673</v>
      </c>
      <c r="M91" s="5"/>
      <c r="N91" s="5"/>
      <c r="O91" s="5"/>
      <c r="P91" s="5"/>
    </row>
    <row r="92" spans="1:16" s="7" customFormat="1" ht="63" customHeight="1" x14ac:dyDescent="0.25">
      <c r="A92" s="56">
        <f>MAX($A$1:A91)+1</f>
        <v>59</v>
      </c>
      <c r="B92" s="57" t="s">
        <v>981</v>
      </c>
      <c r="C92" s="5" t="s">
        <v>1286</v>
      </c>
      <c r="D92" s="10" t="s">
        <v>1099</v>
      </c>
      <c r="E92" s="58" t="s">
        <v>20</v>
      </c>
      <c r="F92" s="9" t="s">
        <v>1094</v>
      </c>
      <c r="G92" s="9" t="s">
        <v>1100</v>
      </c>
      <c r="H92" s="59" t="s">
        <v>983</v>
      </c>
      <c r="I92" s="60" t="s">
        <v>1103</v>
      </c>
      <c r="J92" s="61" t="s">
        <v>1104</v>
      </c>
      <c r="K92" s="5"/>
      <c r="L92" s="46" t="s">
        <v>673</v>
      </c>
      <c r="M92" s="5"/>
      <c r="N92" s="5"/>
      <c r="O92" s="5"/>
      <c r="P92" s="5"/>
    </row>
    <row r="93" spans="1:16" s="7" customFormat="1" ht="68.400000000000006" customHeight="1" x14ac:dyDescent="0.25">
      <c r="A93" s="56">
        <f>MAX($A$1:A92)+1</f>
        <v>60</v>
      </c>
      <c r="B93" s="57" t="s">
        <v>981</v>
      </c>
      <c r="C93" s="5" t="s">
        <v>1287</v>
      </c>
      <c r="D93" s="10" t="s">
        <v>1096</v>
      </c>
      <c r="E93" s="58" t="s">
        <v>20</v>
      </c>
      <c r="F93" s="9" t="s">
        <v>1094</v>
      </c>
      <c r="G93" s="9" t="s">
        <v>1095</v>
      </c>
      <c r="H93" s="59" t="s">
        <v>983</v>
      </c>
      <c r="I93" s="60" t="s">
        <v>1105</v>
      </c>
      <c r="J93" s="61" t="s">
        <v>1107</v>
      </c>
      <c r="K93" s="5"/>
      <c r="L93" s="46" t="s">
        <v>673</v>
      </c>
      <c r="M93" s="5"/>
      <c r="N93" s="5"/>
      <c r="O93" s="5"/>
      <c r="P93" s="5"/>
    </row>
    <row r="94" spans="1:16" s="7" customFormat="1" ht="61.8" customHeight="1" x14ac:dyDescent="0.25">
      <c r="A94" s="4">
        <v>4</v>
      </c>
      <c r="B94" s="5" t="s">
        <v>17</v>
      </c>
      <c r="C94" s="5" t="s">
        <v>1288</v>
      </c>
      <c r="D94" s="5" t="s">
        <v>34</v>
      </c>
      <c r="E94" s="5" t="s">
        <v>20</v>
      </c>
      <c r="F94" s="5" t="s">
        <v>21</v>
      </c>
      <c r="G94" s="5" t="s">
        <v>22</v>
      </c>
      <c r="H94" s="5" t="s">
        <v>23</v>
      </c>
      <c r="I94" s="5" t="s">
        <v>35</v>
      </c>
      <c r="J94" s="5" t="s">
        <v>36</v>
      </c>
      <c r="K94" s="5"/>
      <c r="L94" s="46" t="s">
        <v>671</v>
      </c>
      <c r="M94" s="5"/>
      <c r="N94" s="5"/>
      <c r="O94" s="5"/>
      <c r="P94" s="5"/>
    </row>
    <row r="95" spans="1:16" s="7" customFormat="1" ht="73.8" customHeight="1" x14ac:dyDescent="0.25">
      <c r="A95" s="4">
        <v>5</v>
      </c>
      <c r="B95" s="5" t="s">
        <v>17</v>
      </c>
      <c r="C95" s="5" t="s">
        <v>1289</v>
      </c>
      <c r="D95" s="5" t="s">
        <v>38</v>
      </c>
      <c r="E95" s="5" t="s">
        <v>20</v>
      </c>
      <c r="F95" s="5" t="s">
        <v>21</v>
      </c>
      <c r="G95" s="5" t="s">
        <v>22</v>
      </c>
      <c r="H95" s="5" t="s">
        <v>23</v>
      </c>
      <c r="I95" s="5" t="s">
        <v>1092</v>
      </c>
      <c r="J95" s="5" t="s">
        <v>1093</v>
      </c>
      <c r="K95" s="5" t="s">
        <v>1091</v>
      </c>
      <c r="L95" s="46" t="s">
        <v>672</v>
      </c>
      <c r="M95" s="5"/>
      <c r="N95" s="5"/>
      <c r="O95" s="5"/>
      <c r="P95" s="5"/>
    </row>
    <row r="96" spans="1:16" s="7" customFormat="1" ht="62.4" customHeight="1" x14ac:dyDescent="0.25">
      <c r="A96" s="4">
        <v>6</v>
      </c>
      <c r="B96" s="5" t="s">
        <v>17</v>
      </c>
      <c r="C96" s="5" t="s">
        <v>1290</v>
      </c>
      <c r="D96" s="5" t="s">
        <v>40</v>
      </c>
      <c r="E96" s="5" t="s">
        <v>20</v>
      </c>
      <c r="F96" s="5" t="s">
        <v>21</v>
      </c>
      <c r="G96" s="5" t="s">
        <v>22</v>
      </c>
      <c r="H96" s="5" t="s">
        <v>23</v>
      </c>
      <c r="I96" s="5" t="s">
        <v>41</v>
      </c>
      <c r="J96" s="5" t="s">
        <v>42</v>
      </c>
      <c r="K96" s="5"/>
      <c r="L96" s="46" t="s">
        <v>671</v>
      </c>
      <c r="M96" s="5"/>
      <c r="N96" s="5"/>
      <c r="O96" s="5"/>
      <c r="P96" s="5"/>
    </row>
    <row r="97" spans="1:16" s="7" customFormat="1" x14ac:dyDescent="0.25">
      <c r="A97" s="139" t="s">
        <v>1266</v>
      </c>
      <c r="B97" s="140"/>
      <c r="C97" s="140"/>
      <c r="D97" s="140"/>
      <c r="E97" s="140"/>
      <c r="F97" s="140"/>
      <c r="G97" s="140"/>
      <c r="H97" s="140"/>
      <c r="I97" s="140"/>
      <c r="J97" s="140"/>
      <c r="K97" s="140"/>
      <c r="L97" s="140"/>
      <c r="M97" s="140"/>
      <c r="N97" s="140"/>
      <c r="O97" s="140"/>
      <c r="P97" s="140"/>
    </row>
    <row r="98" spans="1:16" s="7" customFormat="1" ht="52.8" x14ac:dyDescent="0.25">
      <c r="A98" s="6"/>
      <c r="B98" s="51" t="s">
        <v>1108</v>
      </c>
      <c r="C98" s="5" t="s">
        <v>1291</v>
      </c>
      <c r="D98" s="62" t="s">
        <v>1109</v>
      </c>
      <c r="E98" s="58" t="s">
        <v>20</v>
      </c>
      <c r="F98" s="5" t="s">
        <v>21</v>
      </c>
      <c r="G98" s="9" t="s">
        <v>1095</v>
      </c>
      <c r="H98" s="59" t="s">
        <v>1110</v>
      </c>
      <c r="I98" s="63" t="s">
        <v>1127</v>
      </c>
      <c r="J98" s="64" t="s">
        <v>1128</v>
      </c>
      <c r="K98" s="5"/>
      <c r="L98" s="46" t="s">
        <v>671</v>
      </c>
      <c r="M98" s="5"/>
      <c r="N98" s="5"/>
      <c r="O98" s="5"/>
      <c r="P98" s="5"/>
    </row>
    <row r="99" spans="1:16" s="7" customFormat="1" ht="52.8" x14ac:dyDescent="0.25">
      <c r="A99" s="6"/>
      <c r="B99" s="51" t="s">
        <v>981</v>
      </c>
      <c r="C99" s="5" t="s">
        <v>1292</v>
      </c>
      <c r="D99" s="10" t="s">
        <v>1111</v>
      </c>
      <c r="E99" s="58" t="s">
        <v>20</v>
      </c>
      <c r="F99" s="5" t="s">
        <v>21</v>
      </c>
      <c r="G99" s="9" t="s">
        <v>1095</v>
      </c>
      <c r="H99" s="59" t="s">
        <v>983</v>
      </c>
      <c r="I99" s="65" t="s">
        <v>1129</v>
      </c>
      <c r="J99" s="66" t="s">
        <v>1130</v>
      </c>
      <c r="K99" s="5"/>
      <c r="L99" s="46" t="s">
        <v>671</v>
      </c>
      <c r="M99" s="5"/>
      <c r="N99" s="5"/>
      <c r="O99" s="5"/>
      <c r="P99" s="5"/>
    </row>
    <row r="100" spans="1:16" s="7" customFormat="1" ht="66" x14ac:dyDescent="0.25">
      <c r="A100" s="6"/>
      <c r="B100" s="51" t="s">
        <v>981</v>
      </c>
      <c r="C100" s="5" t="s">
        <v>1293</v>
      </c>
      <c r="D100" s="10" t="s">
        <v>1112</v>
      </c>
      <c r="E100" s="58" t="s">
        <v>20</v>
      </c>
      <c r="F100" s="5" t="s">
        <v>21</v>
      </c>
      <c r="G100" s="9" t="s">
        <v>1095</v>
      </c>
      <c r="H100" s="59" t="s">
        <v>983</v>
      </c>
      <c r="I100" s="65" t="s">
        <v>1141</v>
      </c>
      <c r="J100" s="66" t="s">
        <v>1142</v>
      </c>
      <c r="K100" s="5"/>
      <c r="L100" s="46" t="s">
        <v>671</v>
      </c>
      <c r="M100" s="5"/>
      <c r="N100" s="5"/>
      <c r="O100" s="5"/>
      <c r="P100" s="5"/>
    </row>
    <row r="101" spans="1:16" s="7" customFormat="1" ht="66" x14ac:dyDescent="0.25">
      <c r="A101" s="4">
        <v>7</v>
      </c>
      <c r="B101" s="51" t="s">
        <v>981</v>
      </c>
      <c r="C101" s="5" t="s">
        <v>1294</v>
      </c>
      <c r="D101" s="10" t="s">
        <v>1113</v>
      </c>
      <c r="E101" s="58" t="s">
        <v>20</v>
      </c>
      <c r="F101" s="5" t="s">
        <v>21</v>
      </c>
      <c r="G101" s="9" t="s">
        <v>1114</v>
      </c>
      <c r="H101" s="59" t="s">
        <v>1110</v>
      </c>
      <c r="I101" s="65" t="s">
        <v>1139</v>
      </c>
      <c r="J101" s="66" t="s">
        <v>1140</v>
      </c>
      <c r="K101" s="5"/>
      <c r="L101" s="46" t="s">
        <v>673</v>
      </c>
      <c r="M101" s="5"/>
      <c r="N101" s="5"/>
      <c r="O101" s="5"/>
      <c r="P101" s="5"/>
    </row>
    <row r="102" spans="1:16" s="7" customFormat="1" ht="66" x14ac:dyDescent="0.25">
      <c r="A102" s="4">
        <v>8</v>
      </c>
      <c r="B102" s="51" t="s">
        <v>1115</v>
      </c>
      <c r="C102" s="5" t="s">
        <v>1295</v>
      </c>
      <c r="D102" s="10" t="s">
        <v>1116</v>
      </c>
      <c r="E102" s="58" t="s">
        <v>20</v>
      </c>
      <c r="F102" s="5" t="s">
        <v>21</v>
      </c>
      <c r="G102" s="9" t="s">
        <v>1117</v>
      </c>
      <c r="H102" s="59" t="s">
        <v>1118</v>
      </c>
      <c r="I102" s="65" t="s">
        <v>1137</v>
      </c>
      <c r="J102" s="66" t="s">
        <v>1138</v>
      </c>
      <c r="K102" s="5"/>
      <c r="L102" s="46" t="s">
        <v>673</v>
      </c>
      <c r="M102" s="5"/>
      <c r="N102" s="5"/>
      <c r="O102" s="5"/>
      <c r="P102" s="5"/>
    </row>
    <row r="103" spans="1:16" s="7" customFormat="1" ht="66" x14ac:dyDescent="0.25">
      <c r="A103" s="4">
        <v>9</v>
      </c>
      <c r="B103" s="51" t="s">
        <v>1115</v>
      </c>
      <c r="C103" s="5" t="s">
        <v>1296</v>
      </c>
      <c r="D103" s="10" t="s">
        <v>1119</v>
      </c>
      <c r="E103" s="58" t="s">
        <v>20</v>
      </c>
      <c r="F103" s="5" t="s">
        <v>21</v>
      </c>
      <c r="G103" s="9" t="s">
        <v>1095</v>
      </c>
      <c r="H103" s="59" t="s">
        <v>1120</v>
      </c>
      <c r="I103" s="65" t="s">
        <v>1131</v>
      </c>
      <c r="J103" s="66" t="s">
        <v>1132</v>
      </c>
      <c r="K103" s="5"/>
      <c r="L103" s="46" t="s">
        <v>673</v>
      </c>
      <c r="M103" s="5"/>
      <c r="N103" s="5"/>
      <c r="O103" s="5"/>
      <c r="P103" s="5"/>
    </row>
    <row r="104" spans="1:16" s="7" customFormat="1" ht="66" x14ac:dyDescent="0.25">
      <c r="A104" s="4">
        <v>10</v>
      </c>
      <c r="B104" s="51" t="s">
        <v>981</v>
      </c>
      <c r="C104" s="5" t="s">
        <v>1297</v>
      </c>
      <c r="D104" s="10" t="s">
        <v>1121</v>
      </c>
      <c r="E104" s="58" t="s">
        <v>20</v>
      </c>
      <c r="F104" s="5" t="s">
        <v>21</v>
      </c>
      <c r="G104" s="9" t="s">
        <v>1117</v>
      </c>
      <c r="H104" s="59" t="s">
        <v>983</v>
      </c>
      <c r="I104" s="65" t="s">
        <v>1134</v>
      </c>
      <c r="J104" s="66" t="s">
        <v>1133</v>
      </c>
      <c r="K104" s="5"/>
      <c r="L104" s="46" t="s">
        <v>671</v>
      </c>
      <c r="M104" s="5"/>
      <c r="N104" s="5"/>
      <c r="O104" s="5"/>
      <c r="P104" s="5"/>
    </row>
    <row r="105" spans="1:16" s="7" customFormat="1" ht="52.8" x14ac:dyDescent="0.25">
      <c r="A105" s="4">
        <v>11</v>
      </c>
      <c r="B105" s="51" t="s">
        <v>981</v>
      </c>
      <c r="C105" s="5" t="s">
        <v>1298</v>
      </c>
      <c r="D105" s="10" t="s">
        <v>1122</v>
      </c>
      <c r="E105" s="58" t="s">
        <v>20</v>
      </c>
      <c r="F105" s="5" t="s">
        <v>21</v>
      </c>
      <c r="G105" s="9" t="s">
        <v>1095</v>
      </c>
      <c r="H105" s="59" t="s">
        <v>1118</v>
      </c>
      <c r="I105" s="65" t="s">
        <v>1135</v>
      </c>
      <c r="J105" s="66" t="s">
        <v>1136</v>
      </c>
      <c r="K105" s="5"/>
      <c r="L105" s="46" t="s">
        <v>671</v>
      </c>
      <c r="M105" s="5"/>
      <c r="N105" s="5"/>
      <c r="O105" s="5"/>
      <c r="P105" s="5"/>
    </row>
    <row r="106" spans="1:16" s="7" customFormat="1" ht="66" x14ac:dyDescent="0.25">
      <c r="A106" s="4">
        <v>12</v>
      </c>
      <c r="B106" s="51" t="s">
        <v>1123</v>
      </c>
      <c r="C106" s="5" t="s">
        <v>1299</v>
      </c>
      <c r="D106" s="67" t="s">
        <v>1124</v>
      </c>
      <c r="E106" s="58" t="s">
        <v>20</v>
      </c>
      <c r="F106" s="5" t="s">
        <v>21</v>
      </c>
      <c r="G106" s="9" t="s">
        <v>1095</v>
      </c>
      <c r="H106" s="59" t="s">
        <v>983</v>
      </c>
      <c r="I106" s="68" t="s">
        <v>1125</v>
      </c>
      <c r="J106" s="69" t="s">
        <v>1126</v>
      </c>
      <c r="K106" s="5"/>
      <c r="L106" s="46" t="s">
        <v>671</v>
      </c>
      <c r="M106" s="5"/>
      <c r="N106" s="5"/>
      <c r="O106" s="5"/>
      <c r="P106" s="5"/>
    </row>
    <row r="107" spans="1:16" s="7" customFormat="1" x14ac:dyDescent="0.25">
      <c r="A107" s="139" t="s">
        <v>1267</v>
      </c>
      <c r="B107" s="140"/>
      <c r="C107" s="140"/>
      <c r="D107" s="140"/>
      <c r="E107" s="140"/>
      <c r="F107" s="140"/>
      <c r="G107" s="140"/>
      <c r="H107" s="140"/>
      <c r="I107" s="140"/>
      <c r="J107" s="140"/>
      <c r="K107" s="140"/>
      <c r="L107" s="140"/>
      <c r="M107" s="140"/>
      <c r="N107" s="140"/>
      <c r="O107" s="140"/>
      <c r="P107" s="140"/>
    </row>
    <row r="108" spans="1:16" s="7" customFormat="1" ht="92.4" x14ac:dyDescent="0.25">
      <c r="A108" s="6"/>
      <c r="B108" s="5" t="s">
        <v>17</v>
      </c>
      <c r="C108" s="5" t="s">
        <v>1300</v>
      </c>
      <c r="D108" s="5" t="s">
        <v>1145</v>
      </c>
      <c r="E108" s="5" t="s">
        <v>20</v>
      </c>
      <c r="F108" s="5" t="s">
        <v>21</v>
      </c>
      <c r="G108" s="5" t="s">
        <v>22</v>
      </c>
      <c r="H108" s="5" t="s">
        <v>23</v>
      </c>
      <c r="I108" s="63" t="s">
        <v>1143</v>
      </c>
      <c r="J108" s="64" t="s">
        <v>1147</v>
      </c>
      <c r="K108" s="70" t="s">
        <v>1144</v>
      </c>
      <c r="L108" s="46" t="s">
        <v>673</v>
      </c>
    </row>
    <row r="109" spans="1:16" s="7" customFormat="1" ht="92.4" x14ac:dyDescent="0.25">
      <c r="A109" s="6"/>
      <c r="B109" s="5" t="s">
        <v>17</v>
      </c>
      <c r="C109" s="5" t="s">
        <v>1301</v>
      </c>
      <c r="D109" s="5" t="s">
        <v>51</v>
      </c>
      <c r="E109" s="5" t="s">
        <v>20</v>
      </c>
      <c r="F109" s="5" t="s">
        <v>21</v>
      </c>
      <c r="G109" s="5" t="s">
        <v>22</v>
      </c>
      <c r="H109" s="5" t="s">
        <v>23</v>
      </c>
      <c r="I109" s="63" t="s">
        <v>1149</v>
      </c>
      <c r="J109" s="66" t="s">
        <v>1148</v>
      </c>
      <c r="L109" s="46" t="s">
        <v>673</v>
      </c>
    </row>
    <row r="110" spans="1:16" s="7" customFormat="1" ht="118.8" x14ac:dyDescent="0.25">
      <c r="A110" s="4">
        <v>13</v>
      </c>
      <c r="B110" s="5" t="s">
        <v>17</v>
      </c>
      <c r="C110" s="5" t="s">
        <v>1302</v>
      </c>
      <c r="D110" s="5" t="s">
        <v>1146</v>
      </c>
      <c r="E110" s="5" t="s">
        <v>20</v>
      </c>
      <c r="F110" s="5" t="s">
        <v>21</v>
      </c>
      <c r="G110" s="5" t="s">
        <v>22</v>
      </c>
      <c r="H110" s="5" t="s">
        <v>23</v>
      </c>
      <c r="I110" s="63" t="s">
        <v>1162</v>
      </c>
      <c r="J110" s="69" t="s">
        <v>1150</v>
      </c>
      <c r="K110" s="5"/>
      <c r="L110" s="46" t="s">
        <v>671</v>
      </c>
      <c r="M110" s="5"/>
      <c r="N110" s="5"/>
      <c r="O110" s="5"/>
      <c r="P110" s="5"/>
    </row>
    <row r="111" spans="1:16" s="7" customFormat="1" x14ac:dyDescent="0.25">
      <c r="A111" s="139" t="s">
        <v>1268</v>
      </c>
      <c r="B111" s="140"/>
      <c r="C111" s="140"/>
      <c r="D111" s="140"/>
      <c r="E111" s="140"/>
      <c r="F111" s="140"/>
      <c r="G111" s="140"/>
      <c r="H111" s="140"/>
      <c r="I111" s="140"/>
      <c r="J111" s="140"/>
      <c r="K111" s="140"/>
      <c r="L111" s="140"/>
      <c r="M111" s="140"/>
      <c r="N111" s="140"/>
      <c r="O111" s="140"/>
      <c r="P111" s="140"/>
    </row>
    <row r="112" spans="1:16" s="7" customFormat="1" ht="109.8" customHeight="1" x14ac:dyDescent="0.25">
      <c r="A112" s="4">
        <v>14</v>
      </c>
      <c r="B112" s="5" t="s">
        <v>17</v>
      </c>
      <c r="C112" s="5" t="s">
        <v>1303</v>
      </c>
      <c r="D112" s="5" t="s">
        <v>54</v>
      </c>
      <c r="E112" s="5" t="s">
        <v>55</v>
      </c>
      <c r="F112" s="5" t="s">
        <v>21</v>
      </c>
      <c r="G112" s="5" t="s">
        <v>22</v>
      </c>
      <c r="H112" s="5" t="s">
        <v>23</v>
      </c>
      <c r="I112" s="5" t="s">
        <v>1151</v>
      </c>
      <c r="J112" s="5" t="s">
        <v>1152</v>
      </c>
      <c r="K112" s="5"/>
      <c r="L112" s="46" t="s">
        <v>671</v>
      </c>
      <c r="M112" s="5"/>
      <c r="N112" s="5"/>
      <c r="O112" s="5"/>
      <c r="P112" s="5"/>
    </row>
    <row r="113" spans="1:16" s="7" customFormat="1" ht="89.4" customHeight="1" x14ac:dyDescent="0.25">
      <c r="A113" s="4">
        <v>15</v>
      </c>
      <c r="B113" s="5" t="s">
        <v>17</v>
      </c>
      <c r="C113" s="5" t="s">
        <v>1304</v>
      </c>
      <c r="D113" s="5" t="s">
        <v>57</v>
      </c>
      <c r="E113" s="5" t="s">
        <v>55</v>
      </c>
      <c r="F113" s="5" t="s">
        <v>1156</v>
      </c>
      <c r="G113" s="5" t="s">
        <v>22</v>
      </c>
      <c r="H113" s="5" t="s">
        <v>23</v>
      </c>
      <c r="I113" s="5" t="s">
        <v>1154</v>
      </c>
      <c r="J113" s="5" t="s">
        <v>1153</v>
      </c>
      <c r="K113" s="5" t="s">
        <v>1155</v>
      </c>
      <c r="L113" s="46" t="s">
        <v>672</v>
      </c>
      <c r="M113" s="5"/>
      <c r="N113" s="5"/>
      <c r="O113" s="5"/>
      <c r="P113" s="5"/>
    </row>
    <row r="114" spans="1:16" s="7" customFormat="1" x14ac:dyDescent="0.25">
      <c r="A114" s="139" t="s">
        <v>1269</v>
      </c>
      <c r="B114" s="140"/>
      <c r="C114" s="140"/>
      <c r="D114" s="140"/>
      <c r="E114" s="140"/>
      <c r="F114" s="140"/>
      <c r="G114" s="140"/>
      <c r="H114" s="140"/>
      <c r="I114" s="140"/>
      <c r="J114" s="140"/>
      <c r="K114" s="140"/>
      <c r="L114" s="140"/>
      <c r="M114" s="140"/>
      <c r="N114" s="140"/>
      <c r="O114" s="140"/>
      <c r="P114" s="140"/>
    </row>
    <row r="115" spans="1:16" s="7" customFormat="1" ht="59.4" customHeight="1" x14ac:dyDescent="0.25">
      <c r="A115" s="4">
        <v>16</v>
      </c>
      <c r="B115" s="5" t="s">
        <v>17</v>
      </c>
      <c r="C115" s="5" t="s">
        <v>1305</v>
      </c>
      <c r="D115" s="5" t="s">
        <v>60</v>
      </c>
      <c r="E115" s="5" t="s">
        <v>61</v>
      </c>
      <c r="F115" s="5" t="s">
        <v>21</v>
      </c>
      <c r="G115" s="5" t="s">
        <v>22</v>
      </c>
      <c r="H115" s="5" t="s">
        <v>23</v>
      </c>
      <c r="I115" s="5" t="s">
        <v>62</v>
      </c>
      <c r="J115" s="5" t="s">
        <v>63</v>
      </c>
      <c r="K115" s="5"/>
      <c r="L115" s="46" t="s">
        <v>671</v>
      </c>
      <c r="M115" s="5"/>
      <c r="N115" s="5"/>
      <c r="O115" s="5"/>
      <c r="P115" s="5"/>
    </row>
    <row r="116" spans="1:16" s="7" customFormat="1" ht="70.2" customHeight="1" x14ac:dyDescent="0.25">
      <c r="A116" s="4">
        <v>17</v>
      </c>
      <c r="B116" s="5" t="s">
        <v>17</v>
      </c>
      <c r="C116" s="5" t="s">
        <v>1306</v>
      </c>
      <c r="D116" s="5" t="s">
        <v>65</v>
      </c>
      <c r="E116" s="5" t="s">
        <v>61</v>
      </c>
      <c r="F116" s="5" t="s">
        <v>21</v>
      </c>
      <c r="G116" s="5" t="s">
        <v>22</v>
      </c>
      <c r="H116" s="5" t="s">
        <v>23</v>
      </c>
      <c r="I116" s="5" t="s">
        <v>66</v>
      </c>
      <c r="J116" s="5" t="s">
        <v>67</v>
      </c>
      <c r="K116" s="5"/>
      <c r="L116" s="46" t="s">
        <v>671</v>
      </c>
      <c r="M116" s="5"/>
      <c r="N116" s="5"/>
      <c r="O116" s="5"/>
      <c r="P116" s="5"/>
    </row>
    <row r="117" spans="1:16" s="7" customFormat="1" x14ac:dyDescent="0.25">
      <c r="A117" s="139" t="s">
        <v>1270</v>
      </c>
      <c r="B117" s="140"/>
      <c r="C117" s="140"/>
      <c r="D117" s="140"/>
      <c r="E117" s="140"/>
      <c r="F117" s="140"/>
      <c r="G117" s="140"/>
      <c r="H117" s="140"/>
      <c r="I117" s="140"/>
      <c r="J117" s="140"/>
      <c r="K117" s="140"/>
      <c r="L117" s="140"/>
      <c r="M117" s="140"/>
      <c r="N117" s="140"/>
      <c r="O117" s="140"/>
      <c r="P117" s="140"/>
    </row>
    <row r="118" spans="1:16" s="7" customFormat="1" ht="70.8" customHeight="1" x14ac:dyDescent="0.25">
      <c r="A118" s="4">
        <v>18</v>
      </c>
      <c r="B118" s="5" t="s">
        <v>17</v>
      </c>
      <c r="C118" s="5" t="s">
        <v>1307</v>
      </c>
      <c r="D118" s="5" t="s">
        <v>70</v>
      </c>
      <c r="E118" s="5" t="s">
        <v>20</v>
      </c>
      <c r="F118" s="5" t="s">
        <v>21</v>
      </c>
      <c r="G118" s="5" t="s">
        <v>22</v>
      </c>
      <c r="H118" s="5" t="s">
        <v>23</v>
      </c>
      <c r="I118" s="5" t="s">
        <v>1163</v>
      </c>
      <c r="J118" s="5" t="s">
        <v>1166</v>
      </c>
      <c r="K118" s="5"/>
      <c r="L118" s="46" t="s">
        <v>671</v>
      </c>
      <c r="M118" s="5"/>
      <c r="N118" s="5"/>
      <c r="O118" s="5"/>
      <c r="P118" s="5"/>
    </row>
    <row r="119" spans="1:16" s="7" customFormat="1" ht="74.400000000000006" customHeight="1" x14ac:dyDescent="0.25">
      <c r="A119" s="4">
        <v>19</v>
      </c>
      <c r="B119" s="5" t="s">
        <v>17</v>
      </c>
      <c r="C119" s="5" t="s">
        <v>1308</v>
      </c>
      <c r="D119" s="5" t="s">
        <v>71</v>
      </c>
      <c r="E119" s="5" t="s">
        <v>20</v>
      </c>
      <c r="F119" s="5" t="s">
        <v>21</v>
      </c>
      <c r="G119" s="5" t="s">
        <v>22</v>
      </c>
      <c r="H119" s="5" t="s">
        <v>23</v>
      </c>
      <c r="I119" s="5" t="s">
        <v>1164</v>
      </c>
      <c r="J119" s="5" t="s">
        <v>1165</v>
      </c>
      <c r="K119" s="5"/>
      <c r="L119" s="46" t="s">
        <v>671</v>
      </c>
      <c r="M119" s="5"/>
      <c r="N119" s="5"/>
      <c r="O119" s="5"/>
      <c r="P119" s="5"/>
    </row>
    <row r="120" spans="1:16" s="7" customFormat="1" x14ac:dyDescent="0.25">
      <c r="A120" s="139" t="s">
        <v>1271</v>
      </c>
      <c r="B120" s="140"/>
      <c r="C120" s="140"/>
      <c r="D120" s="140"/>
      <c r="E120" s="140"/>
      <c r="F120" s="140"/>
      <c r="G120" s="140"/>
      <c r="H120" s="140"/>
      <c r="I120" s="140"/>
      <c r="J120" s="140"/>
      <c r="K120" s="140"/>
      <c r="L120" s="140"/>
      <c r="M120" s="140"/>
      <c r="N120" s="140"/>
      <c r="O120" s="140"/>
      <c r="P120" s="140"/>
    </row>
    <row r="121" spans="1:16" s="7" customFormat="1" ht="36" x14ac:dyDescent="0.25">
      <c r="A121" s="4">
        <v>20</v>
      </c>
      <c r="B121" s="5" t="s">
        <v>17</v>
      </c>
      <c r="C121" s="5" t="s">
        <v>1309</v>
      </c>
      <c r="D121" s="5" t="s">
        <v>74</v>
      </c>
      <c r="E121" s="5" t="s">
        <v>55</v>
      </c>
      <c r="F121" s="5" t="s">
        <v>21</v>
      </c>
      <c r="G121" s="5" t="s">
        <v>22</v>
      </c>
      <c r="H121" s="5" t="s">
        <v>23</v>
      </c>
      <c r="I121" s="5" t="s">
        <v>75</v>
      </c>
      <c r="J121" s="5" t="s">
        <v>76</v>
      </c>
      <c r="K121" s="5"/>
      <c r="L121" s="46" t="s">
        <v>671</v>
      </c>
      <c r="M121" s="5"/>
      <c r="N121" s="5"/>
      <c r="O121" s="5"/>
      <c r="P121" s="5"/>
    </row>
    <row r="122" spans="1:16" s="7" customFormat="1" ht="36" x14ac:dyDescent="0.25">
      <c r="A122" s="4">
        <v>21</v>
      </c>
      <c r="B122" s="5" t="s">
        <v>17</v>
      </c>
      <c r="C122" s="5" t="s">
        <v>1310</v>
      </c>
      <c r="D122" s="5" t="s">
        <v>78</v>
      </c>
      <c r="E122" s="5" t="s">
        <v>55</v>
      </c>
      <c r="F122" s="5" t="s">
        <v>21</v>
      </c>
      <c r="G122" s="5" t="s">
        <v>22</v>
      </c>
      <c r="H122" s="5" t="s">
        <v>23</v>
      </c>
      <c r="I122" s="5" t="s">
        <v>79</v>
      </c>
      <c r="J122" s="5" t="s">
        <v>76</v>
      </c>
      <c r="K122" s="5"/>
      <c r="L122" s="46" t="s">
        <v>671</v>
      </c>
      <c r="M122" s="5"/>
      <c r="N122" s="5"/>
      <c r="O122" s="5"/>
      <c r="P122" s="5"/>
    </row>
    <row r="123" spans="1:16" s="7" customFormat="1" x14ac:dyDescent="0.25">
      <c r="A123" s="139" t="s">
        <v>1272</v>
      </c>
      <c r="B123" s="140"/>
      <c r="C123" s="140"/>
      <c r="D123" s="140"/>
      <c r="E123" s="140"/>
      <c r="F123" s="140"/>
      <c r="G123" s="140"/>
      <c r="H123" s="140"/>
      <c r="I123" s="140"/>
      <c r="J123" s="140"/>
      <c r="K123" s="140"/>
      <c r="L123" s="140"/>
      <c r="M123" s="140"/>
      <c r="N123" s="140"/>
      <c r="O123" s="140"/>
      <c r="P123" s="140"/>
    </row>
    <row r="124" spans="1:16" s="7" customFormat="1" ht="36" x14ac:dyDescent="0.25">
      <c r="A124" s="4">
        <v>22</v>
      </c>
      <c r="B124" s="5" t="s">
        <v>17</v>
      </c>
      <c r="C124" s="5" t="s">
        <v>1311</v>
      </c>
      <c r="D124" s="5" t="s">
        <v>82</v>
      </c>
      <c r="E124" s="5" t="s">
        <v>20</v>
      </c>
      <c r="F124" s="5" t="s">
        <v>21</v>
      </c>
      <c r="G124" s="5" t="s">
        <v>22</v>
      </c>
      <c r="H124" s="5" t="s">
        <v>23</v>
      </c>
      <c r="I124" s="5" t="s">
        <v>1169</v>
      </c>
      <c r="J124" s="5" t="s">
        <v>76</v>
      </c>
      <c r="K124" s="5"/>
      <c r="L124" s="46" t="s">
        <v>671</v>
      </c>
      <c r="M124" s="5"/>
      <c r="N124" s="5"/>
      <c r="O124" s="5"/>
      <c r="P124" s="5"/>
    </row>
    <row r="125" spans="1:16" s="7" customFormat="1" ht="49.8" customHeight="1" x14ac:dyDescent="0.25">
      <c r="A125" s="4">
        <v>23</v>
      </c>
      <c r="B125" s="5" t="s">
        <v>17</v>
      </c>
      <c r="C125" s="5" t="s">
        <v>1312</v>
      </c>
      <c r="D125" s="5" t="s">
        <v>84</v>
      </c>
      <c r="E125" s="5" t="s">
        <v>20</v>
      </c>
      <c r="F125" s="5" t="s">
        <v>21</v>
      </c>
      <c r="G125" s="5" t="s">
        <v>22</v>
      </c>
      <c r="H125" s="5" t="s">
        <v>23</v>
      </c>
      <c r="I125" s="5" t="s">
        <v>1170</v>
      </c>
      <c r="J125" s="5" t="s">
        <v>85</v>
      </c>
      <c r="K125" s="5"/>
      <c r="L125" s="46" t="s">
        <v>671</v>
      </c>
      <c r="M125" s="5"/>
      <c r="N125" s="5"/>
      <c r="O125" s="5"/>
      <c r="P125" s="5"/>
    </row>
    <row r="126" spans="1:16" s="7" customFormat="1" ht="84" x14ac:dyDescent="0.25">
      <c r="A126" s="4">
        <v>25</v>
      </c>
      <c r="B126" s="5" t="s">
        <v>17</v>
      </c>
      <c r="C126" s="5" t="s">
        <v>1313</v>
      </c>
      <c r="D126" s="5" t="s">
        <v>1171</v>
      </c>
      <c r="E126" s="5" t="s">
        <v>20</v>
      </c>
      <c r="F126" s="5" t="s">
        <v>21</v>
      </c>
      <c r="G126" s="5" t="s">
        <v>22</v>
      </c>
      <c r="H126" s="5" t="s">
        <v>23</v>
      </c>
      <c r="I126" s="5" t="s">
        <v>1172</v>
      </c>
      <c r="J126" s="5" t="s">
        <v>1173</v>
      </c>
      <c r="K126" s="5"/>
      <c r="L126" s="46" t="s">
        <v>671</v>
      </c>
      <c r="M126" s="5"/>
      <c r="N126" s="5"/>
      <c r="O126" s="5"/>
      <c r="P126" s="5"/>
    </row>
    <row r="127" spans="1:16" s="7" customFormat="1" x14ac:dyDescent="0.25">
      <c r="A127" s="139" t="s">
        <v>1273</v>
      </c>
      <c r="B127" s="140"/>
      <c r="C127" s="140"/>
      <c r="D127" s="140"/>
      <c r="E127" s="140"/>
      <c r="F127" s="140"/>
      <c r="G127" s="140"/>
      <c r="H127" s="140"/>
      <c r="I127" s="140"/>
      <c r="J127" s="140"/>
      <c r="K127" s="140"/>
      <c r="L127" s="140"/>
      <c r="M127" s="140"/>
      <c r="N127" s="140"/>
      <c r="O127" s="140"/>
      <c r="P127" s="140"/>
    </row>
    <row r="128" spans="1:16" s="7" customFormat="1" x14ac:dyDescent="0.25">
      <c r="A128" s="139" t="s">
        <v>1274</v>
      </c>
      <c r="B128" s="140"/>
      <c r="C128" s="140"/>
      <c r="D128" s="140"/>
      <c r="E128" s="140"/>
      <c r="F128" s="140"/>
      <c r="G128" s="140"/>
      <c r="H128" s="140"/>
      <c r="I128" s="140"/>
      <c r="J128" s="140"/>
      <c r="K128" s="140"/>
      <c r="L128" s="140"/>
      <c r="M128" s="140"/>
      <c r="N128" s="140"/>
      <c r="O128" s="140"/>
      <c r="P128" s="140"/>
    </row>
    <row r="129" spans="1:16" s="7" customFormat="1" ht="36" x14ac:dyDescent="0.25">
      <c r="A129" s="4">
        <v>1</v>
      </c>
      <c r="B129" s="5" t="s">
        <v>17</v>
      </c>
      <c r="C129" s="5" t="s">
        <v>1314</v>
      </c>
      <c r="D129" s="5" t="s">
        <v>19</v>
      </c>
      <c r="E129" s="5" t="s">
        <v>20</v>
      </c>
      <c r="F129" s="5" t="s">
        <v>21</v>
      </c>
      <c r="G129" s="5" t="s">
        <v>22</v>
      </c>
      <c r="H129" s="5" t="s">
        <v>23</v>
      </c>
      <c r="I129" s="5" t="s">
        <v>1222</v>
      </c>
      <c r="J129" s="5" t="s">
        <v>1175</v>
      </c>
      <c r="K129" s="5"/>
      <c r="L129" s="46" t="s">
        <v>671</v>
      </c>
      <c r="M129" s="5"/>
      <c r="N129" s="5"/>
      <c r="O129" s="5"/>
      <c r="P129" s="5"/>
    </row>
    <row r="130" spans="1:16" s="7" customFormat="1" ht="48" x14ac:dyDescent="0.25">
      <c r="A130" s="4">
        <v>2</v>
      </c>
      <c r="B130" s="5" t="s">
        <v>17</v>
      </c>
      <c r="C130" s="5" t="s">
        <v>1315</v>
      </c>
      <c r="D130" s="5" t="s">
        <v>27</v>
      </c>
      <c r="E130" s="5" t="s">
        <v>20</v>
      </c>
      <c r="F130" s="5" t="s">
        <v>21</v>
      </c>
      <c r="G130" s="5" t="s">
        <v>22</v>
      </c>
      <c r="H130" s="5" t="s">
        <v>23</v>
      </c>
      <c r="I130" s="5" t="s">
        <v>1221</v>
      </c>
      <c r="J130" s="5" t="s">
        <v>1090</v>
      </c>
      <c r="K130" s="5" t="s">
        <v>1089</v>
      </c>
      <c r="L130" s="46" t="s">
        <v>672</v>
      </c>
      <c r="M130" s="5"/>
      <c r="N130" s="5"/>
      <c r="O130" s="5"/>
      <c r="P130" s="5"/>
    </row>
    <row r="131" spans="1:16" s="7" customFormat="1" ht="36" x14ac:dyDescent="0.25">
      <c r="A131" s="4">
        <v>3</v>
      </c>
      <c r="B131" s="5" t="s">
        <v>17</v>
      </c>
      <c r="C131" s="5" t="s">
        <v>1316</v>
      </c>
      <c r="D131" s="5" t="s">
        <v>30</v>
      </c>
      <c r="E131" s="5" t="s">
        <v>20</v>
      </c>
      <c r="F131" s="5" t="s">
        <v>21</v>
      </c>
      <c r="G131" s="5" t="s">
        <v>22</v>
      </c>
      <c r="H131" s="5" t="s">
        <v>23</v>
      </c>
      <c r="I131" s="5" t="s">
        <v>1220</v>
      </c>
      <c r="J131" s="5" t="s">
        <v>1175</v>
      </c>
      <c r="K131" s="5"/>
      <c r="L131" s="46" t="s">
        <v>671</v>
      </c>
      <c r="M131" s="5"/>
      <c r="N131" s="5"/>
      <c r="O131" s="5"/>
      <c r="P131" s="5"/>
    </row>
    <row r="132" spans="1:16" s="7" customFormat="1" ht="64.2" customHeight="1" x14ac:dyDescent="0.25">
      <c r="A132" s="56">
        <f>MAX($A$1:A131)+1</f>
        <v>61</v>
      </c>
      <c r="B132" s="57" t="s">
        <v>981</v>
      </c>
      <c r="C132" s="5" t="s">
        <v>1317</v>
      </c>
      <c r="D132" s="10" t="s">
        <v>1097</v>
      </c>
      <c r="E132" s="58" t="s">
        <v>20</v>
      </c>
      <c r="F132" s="9" t="s">
        <v>1094</v>
      </c>
      <c r="G132" s="9" t="s">
        <v>1095</v>
      </c>
      <c r="H132" s="59" t="s">
        <v>1098</v>
      </c>
      <c r="I132" s="60" t="s">
        <v>1219</v>
      </c>
      <c r="J132" s="61" t="s">
        <v>1176</v>
      </c>
      <c r="K132" s="5" t="s">
        <v>1106</v>
      </c>
      <c r="L132" s="46" t="s">
        <v>673</v>
      </c>
      <c r="M132" s="5"/>
      <c r="N132" s="5"/>
      <c r="O132" s="5"/>
      <c r="P132" s="5"/>
    </row>
    <row r="133" spans="1:16" s="7" customFormat="1" ht="52.8" x14ac:dyDescent="0.25">
      <c r="A133" s="56">
        <f>MAX($A$1:A132)+1</f>
        <v>62</v>
      </c>
      <c r="B133" s="57" t="s">
        <v>981</v>
      </c>
      <c r="C133" s="5" t="s">
        <v>1318</v>
      </c>
      <c r="D133" s="10" t="s">
        <v>1099</v>
      </c>
      <c r="E133" s="58" t="s">
        <v>20</v>
      </c>
      <c r="F133" s="9" t="s">
        <v>1094</v>
      </c>
      <c r="G133" s="9" t="s">
        <v>1100</v>
      </c>
      <c r="H133" s="59" t="s">
        <v>983</v>
      </c>
      <c r="I133" s="60" t="s">
        <v>1218</v>
      </c>
      <c r="J133" s="61" t="s">
        <v>1177</v>
      </c>
      <c r="K133" s="5"/>
      <c r="L133" s="46" t="s">
        <v>673</v>
      </c>
      <c r="M133" s="5"/>
      <c r="N133" s="5"/>
      <c r="O133" s="5"/>
      <c r="P133" s="5"/>
    </row>
    <row r="134" spans="1:16" s="7" customFormat="1" ht="52.8" x14ac:dyDescent="0.25">
      <c r="A134" s="56">
        <f>MAX($A$1:A133)+1</f>
        <v>63</v>
      </c>
      <c r="B134" s="57" t="s">
        <v>981</v>
      </c>
      <c r="C134" s="5" t="s">
        <v>1319</v>
      </c>
      <c r="D134" s="10" t="s">
        <v>1096</v>
      </c>
      <c r="E134" s="58" t="s">
        <v>20</v>
      </c>
      <c r="F134" s="9" t="s">
        <v>1094</v>
      </c>
      <c r="G134" s="9" t="s">
        <v>1095</v>
      </c>
      <c r="H134" s="59" t="s">
        <v>983</v>
      </c>
      <c r="I134" s="60" t="s">
        <v>1215</v>
      </c>
      <c r="J134" s="61" t="s">
        <v>1217</v>
      </c>
      <c r="K134" s="5"/>
      <c r="L134" s="46" t="s">
        <v>673</v>
      </c>
      <c r="M134" s="5"/>
      <c r="N134" s="5"/>
      <c r="O134" s="5"/>
      <c r="P134" s="5"/>
    </row>
    <row r="135" spans="1:16" s="7" customFormat="1" ht="48" x14ac:dyDescent="0.25">
      <c r="A135" s="4">
        <v>4</v>
      </c>
      <c r="B135" s="5" t="s">
        <v>17</v>
      </c>
      <c r="C135" s="5" t="s">
        <v>1320</v>
      </c>
      <c r="D135" s="5" t="s">
        <v>34</v>
      </c>
      <c r="E135" s="5" t="s">
        <v>20</v>
      </c>
      <c r="F135" s="5" t="s">
        <v>21</v>
      </c>
      <c r="G135" s="5" t="s">
        <v>22</v>
      </c>
      <c r="H135" s="5" t="s">
        <v>23</v>
      </c>
      <c r="I135" s="5" t="s">
        <v>1214</v>
      </c>
      <c r="J135" s="5" t="s">
        <v>1216</v>
      </c>
      <c r="K135" s="5"/>
      <c r="L135" s="46" t="s">
        <v>671</v>
      </c>
      <c r="M135" s="5"/>
      <c r="N135" s="5"/>
      <c r="O135" s="5"/>
      <c r="P135" s="5"/>
    </row>
    <row r="136" spans="1:16" s="7" customFormat="1" ht="48" x14ac:dyDescent="0.25">
      <c r="A136" s="4">
        <v>5</v>
      </c>
      <c r="B136" s="5" t="s">
        <v>17</v>
      </c>
      <c r="C136" s="5" t="s">
        <v>1321</v>
      </c>
      <c r="D136" s="5" t="s">
        <v>38</v>
      </c>
      <c r="E136" s="5" t="s">
        <v>20</v>
      </c>
      <c r="F136" s="5" t="s">
        <v>21</v>
      </c>
      <c r="G136" s="5" t="s">
        <v>22</v>
      </c>
      <c r="H136" s="5" t="s">
        <v>23</v>
      </c>
      <c r="I136" s="5" t="s">
        <v>1213</v>
      </c>
      <c r="J136" s="5" t="s">
        <v>1179</v>
      </c>
      <c r="K136" s="5" t="s">
        <v>1091</v>
      </c>
      <c r="L136" s="46" t="s">
        <v>672</v>
      </c>
      <c r="M136" s="5"/>
      <c r="N136" s="5"/>
      <c r="O136" s="5"/>
      <c r="P136" s="5"/>
    </row>
    <row r="137" spans="1:16" s="7" customFormat="1" ht="58.2" customHeight="1" x14ac:dyDescent="0.25">
      <c r="A137" s="4">
        <v>6</v>
      </c>
      <c r="B137" s="5" t="s">
        <v>17</v>
      </c>
      <c r="C137" s="5" t="s">
        <v>1322</v>
      </c>
      <c r="D137" s="5" t="s">
        <v>40</v>
      </c>
      <c r="E137" s="5" t="s">
        <v>20</v>
      </c>
      <c r="F137" s="5" t="s">
        <v>21</v>
      </c>
      <c r="G137" s="5" t="s">
        <v>22</v>
      </c>
      <c r="H137" s="5" t="s">
        <v>23</v>
      </c>
      <c r="I137" s="5" t="s">
        <v>1212</v>
      </c>
      <c r="J137" s="5" t="s">
        <v>1178</v>
      </c>
      <c r="K137" s="5"/>
      <c r="L137" s="46" t="s">
        <v>671</v>
      </c>
      <c r="M137" s="5"/>
      <c r="N137" s="5"/>
      <c r="O137" s="5"/>
      <c r="P137" s="5"/>
    </row>
    <row r="138" spans="1:16" s="7" customFormat="1" x14ac:dyDescent="0.25">
      <c r="A138" s="139" t="s">
        <v>1275</v>
      </c>
      <c r="B138" s="140"/>
      <c r="C138" s="140"/>
      <c r="D138" s="140"/>
      <c r="E138" s="140"/>
      <c r="F138" s="140"/>
      <c r="G138" s="140"/>
      <c r="H138" s="140"/>
      <c r="I138" s="140"/>
      <c r="J138" s="140"/>
      <c r="K138" s="140"/>
      <c r="L138" s="140"/>
      <c r="M138" s="140"/>
      <c r="N138" s="140"/>
      <c r="O138" s="140"/>
      <c r="P138" s="140"/>
    </row>
    <row r="139" spans="1:16" s="7" customFormat="1" ht="52.8" x14ac:dyDescent="0.25">
      <c r="A139" s="6"/>
      <c r="B139" s="51" t="s">
        <v>1108</v>
      </c>
      <c r="C139" s="5" t="s">
        <v>1323</v>
      </c>
      <c r="D139" s="62" t="s">
        <v>1109</v>
      </c>
      <c r="E139" s="58" t="s">
        <v>20</v>
      </c>
      <c r="F139" s="5" t="s">
        <v>21</v>
      </c>
      <c r="G139" s="9" t="s">
        <v>1095</v>
      </c>
      <c r="H139" s="59" t="s">
        <v>1110</v>
      </c>
      <c r="I139" s="63" t="s">
        <v>1209</v>
      </c>
      <c r="J139" s="64" t="s">
        <v>1128</v>
      </c>
      <c r="K139" s="5"/>
      <c r="L139" s="46" t="s">
        <v>671</v>
      </c>
      <c r="M139" s="5"/>
      <c r="N139" s="5"/>
      <c r="O139" s="5"/>
      <c r="P139" s="5"/>
    </row>
    <row r="140" spans="1:16" s="7" customFormat="1" ht="52.8" x14ac:dyDescent="0.25">
      <c r="A140" s="6"/>
      <c r="B140" s="51" t="s">
        <v>981</v>
      </c>
      <c r="C140" s="5" t="s">
        <v>1324</v>
      </c>
      <c r="D140" s="10" t="s">
        <v>1111</v>
      </c>
      <c r="E140" s="58" t="s">
        <v>20</v>
      </c>
      <c r="F140" s="5" t="s">
        <v>21</v>
      </c>
      <c r="G140" s="9" t="s">
        <v>1095</v>
      </c>
      <c r="H140" s="59" t="s">
        <v>983</v>
      </c>
      <c r="I140" s="65" t="s">
        <v>1211</v>
      </c>
      <c r="J140" s="66" t="s">
        <v>1128</v>
      </c>
      <c r="K140" s="5"/>
      <c r="L140" s="46" t="s">
        <v>671</v>
      </c>
      <c r="M140" s="5"/>
      <c r="N140" s="5"/>
      <c r="O140" s="5"/>
      <c r="P140" s="5"/>
    </row>
    <row r="141" spans="1:16" s="7" customFormat="1" ht="66" x14ac:dyDescent="0.25">
      <c r="A141" s="6"/>
      <c r="B141" s="51" t="s">
        <v>981</v>
      </c>
      <c r="C141" s="5" t="s">
        <v>1325</v>
      </c>
      <c r="D141" s="10" t="s">
        <v>1112</v>
      </c>
      <c r="E141" s="58" t="s">
        <v>20</v>
      </c>
      <c r="F141" s="5" t="s">
        <v>21</v>
      </c>
      <c r="G141" s="9" t="s">
        <v>1095</v>
      </c>
      <c r="H141" s="59" t="s">
        <v>983</v>
      </c>
      <c r="I141" s="65" t="s">
        <v>1208</v>
      </c>
      <c r="J141" s="66" t="s">
        <v>1210</v>
      </c>
      <c r="K141" s="5"/>
      <c r="L141" s="46" t="s">
        <v>671</v>
      </c>
      <c r="M141" s="5"/>
      <c r="N141" s="5"/>
      <c r="O141" s="5"/>
      <c r="P141" s="5"/>
    </row>
    <row r="142" spans="1:16" s="7" customFormat="1" ht="66" x14ac:dyDescent="0.25">
      <c r="A142" s="4">
        <v>7</v>
      </c>
      <c r="B142" s="51" t="s">
        <v>981</v>
      </c>
      <c r="C142" s="5" t="s">
        <v>1326</v>
      </c>
      <c r="D142" s="10" t="s">
        <v>1113</v>
      </c>
      <c r="E142" s="58" t="s">
        <v>20</v>
      </c>
      <c r="F142" s="5" t="s">
        <v>21</v>
      </c>
      <c r="G142" s="9" t="s">
        <v>1114</v>
      </c>
      <c r="H142" s="59" t="s">
        <v>1110</v>
      </c>
      <c r="I142" s="65" t="s">
        <v>1207</v>
      </c>
      <c r="J142" s="66" t="s">
        <v>1140</v>
      </c>
      <c r="K142" s="5"/>
      <c r="L142" s="46" t="s">
        <v>673</v>
      </c>
      <c r="M142" s="5"/>
      <c r="N142" s="5"/>
      <c r="O142" s="5"/>
      <c r="P142" s="5"/>
    </row>
    <row r="143" spans="1:16" s="7" customFormat="1" ht="66" x14ac:dyDescent="0.25">
      <c r="A143" s="4">
        <v>8</v>
      </c>
      <c r="B143" s="51" t="s">
        <v>1115</v>
      </c>
      <c r="C143" s="5" t="s">
        <v>1327</v>
      </c>
      <c r="D143" s="10" t="s">
        <v>1116</v>
      </c>
      <c r="E143" s="58" t="s">
        <v>20</v>
      </c>
      <c r="F143" s="5" t="s">
        <v>21</v>
      </c>
      <c r="G143" s="9" t="s">
        <v>1117</v>
      </c>
      <c r="H143" s="59" t="s">
        <v>1118</v>
      </c>
      <c r="I143" s="65" t="s">
        <v>1206</v>
      </c>
      <c r="J143" s="66" t="s">
        <v>1138</v>
      </c>
      <c r="K143" s="5"/>
      <c r="L143" s="46" t="s">
        <v>673</v>
      </c>
      <c r="M143" s="5"/>
      <c r="N143" s="5"/>
      <c r="O143" s="5"/>
      <c r="P143" s="5"/>
    </row>
    <row r="144" spans="1:16" s="7" customFormat="1" ht="66" x14ac:dyDescent="0.25">
      <c r="A144" s="4">
        <v>9</v>
      </c>
      <c r="B144" s="51" t="s">
        <v>1115</v>
      </c>
      <c r="C144" s="5" t="s">
        <v>1328</v>
      </c>
      <c r="D144" s="10" t="s">
        <v>1119</v>
      </c>
      <c r="E144" s="58" t="s">
        <v>20</v>
      </c>
      <c r="F144" s="5" t="s">
        <v>21</v>
      </c>
      <c r="G144" s="9" t="s">
        <v>1095</v>
      </c>
      <c r="H144" s="59" t="s">
        <v>1120</v>
      </c>
      <c r="I144" s="65" t="s">
        <v>1205</v>
      </c>
      <c r="J144" s="66" t="s">
        <v>1132</v>
      </c>
      <c r="K144" s="5"/>
      <c r="L144" s="46" t="s">
        <v>673</v>
      </c>
      <c r="M144" s="5"/>
      <c r="N144" s="5"/>
      <c r="O144" s="5"/>
      <c r="P144" s="5"/>
    </row>
    <row r="145" spans="1:16" s="7" customFormat="1" ht="66" x14ac:dyDescent="0.25">
      <c r="A145" s="4">
        <v>10</v>
      </c>
      <c r="B145" s="51" t="s">
        <v>981</v>
      </c>
      <c r="C145" s="5" t="s">
        <v>1329</v>
      </c>
      <c r="D145" s="10" t="s">
        <v>1121</v>
      </c>
      <c r="E145" s="58" t="s">
        <v>20</v>
      </c>
      <c r="F145" s="5" t="s">
        <v>21</v>
      </c>
      <c r="G145" s="9" t="s">
        <v>1117</v>
      </c>
      <c r="H145" s="59" t="s">
        <v>983</v>
      </c>
      <c r="I145" s="65" t="s">
        <v>1204</v>
      </c>
      <c r="J145" s="66" t="s">
        <v>1133</v>
      </c>
      <c r="K145" s="5"/>
      <c r="L145" s="46" t="s">
        <v>671</v>
      </c>
      <c r="M145" s="5"/>
      <c r="N145" s="5"/>
      <c r="O145" s="5"/>
      <c r="P145" s="5"/>
    </row>
    <row r="146" spans="1:16" s="7" customFormat="1" ht="52.8" x14ac:dyDescent="0.25">
      <c r="A146" s="4">
        <v>11</v>
      </c>
      <c r="B146" s="51" t="s">
        <v>981</v>
      </c>
      <c r="C146" s="5" t="s">
        <v>1330</v>
      </c>
      <c r="D146" s="10" t="s">
        <v>1122</v>
      </c>
      <c r="E146" s="58" t="s">
        <v>20</v>
      </c>
      <c r="F146" s="5" t="s">
        <v>21</v>
      </c>
      <c r="G146" s="9" t="s">
        <v>1095</v>
      </c>
      <c r="H146" s="59" t="s">
        <v>1118</v>
      </c>
      <c r="I146" s="65" t="s">
        <v>1203</v>
      </c>
      <c r="J146" s="66" t="s">
        <v>1136</v>
      </c>
      <c r="K146" s="5"/>
      <c r="L146" s="46" t="s">
        <v>671</v>
      </c>
      <c r="M146" s="5"/>
      <c r="N146" s="5"/>
      <c r="O146" s="5"/>
      <c r="P146" s="5"/>
    </row>
    <row r="147" spans="1:16" s="7" customFormat="1" ht="52.8" x14ac:dyDescent="0.25">
      <c r="A147" s="4">
        <v>12</v>
      </c>
      <c r="B147" s="51" t="s">
        <v>1123</v>
      </c>
      <c r="C147" s="5" t="s">
        <v>1331</v>
      </c>
      <c r="D147" s="67" t="s">
        <v>1124</v>
      </c>
      <c r="E147" s="58" t="s">
        <v>20</v>
      </c>
      <c r="F147" s="5" t="s">
        <v>21</v>
      </c>
      <c r="G147" s="9" t="s">
        <v>1095</v>
      </c>
      <c r="H147" s="59" t="s">
        <v>983</v>
      </c>
      <c r="I147" s="68" t="s">
        <v>1201</v>
      </c>
      <c r="J147" s="69" t="s">
        <v>1202</v>
      </c>
      <c r="K147" s="5"/>
      <c r="L147" s="46" t="s">
        <v>671</v>
      </c>
      <c r="M147" s="5"/>
      <c r="N147" s="5"/>
      <c r="O147" s="5"/>
      <c r="P147" s="5"/>
    </row>
    <row r="148" spans="1:16" s="7" customFormat="1" x14ac:dyDescent="0.25">
      <c r="A148" s="139" t="s">
        <v>1276</v>
      </c>
      <c r="B148" s="140"/>
      <c r="C148" s="140"/>
      <c r="D148" s="140"/>
      <c r="E148" s="140"/>
      <c r="F148" s="140"/>
      <c r="G148" s="140"/>
      <c r="H148" s="140"/>
      <c r="I148" s="140"/>
      <c r="J148" s="140"/>
      <c r="K148" s="140"/>
      <c r="L148" s="140"/>
      <c r="M148" s="140"/>
      <c r="N148" s="140"/>
      <c r="O148" s="140"/>
      <c r="P148" s="140"/>
    </row>
    <row r="149" spans="1:16" s="7" customFormat="1" ht="92.4" x14ac:dyDescent="0.25">
      <c r="A149" s="6"/>
      <c r="B149" s="5" t="s">
        <v>17</v>
      </c>
      <c r="C149" s="5" t="s">
        <v>1332</v>
      </c>
      <c r="D149" s="5" t="s">
        <v>1145</v>
      </c>
      <c r="E149" s="5" t="s">
        <v>20</v>
      </c>
      <c r="F149" s="5" t="s">
        <v>21</v>
      </c>
      <c r="G149" s="5" t="s">
        <v>22</v>
      </c>
      <c r="H149" s="5" t="s">
        <v>23</v>
      </c>
      <c r="I149" s="63" t="s">
        <v>1200</v>
      </c>
      <c r="J149" s="64" t="s">
        <v>1180</v>
      </c>
      <c r="K149" s="70" t="s">
        <v>1144</v>
      </c>
      <c r="L149" s="46" t="s">
        <v>673</v>
      </c>
    </row>
    <row r="150" spans="1:16" s="7" customFormat="1" ht="92.4" x14ac:dyDescent="0.25">
      <c r="A150" s="6"/>
      <c r="B150" s="5" t="s">
        <v>17</v>
      </c>
      <c r="C150" s="5" t="s">
        <v>1333</v>
      </c>
      <c r="D150" s="5" t="s">
        <v>51</v>
      </c>
      <c r="E150" s="5" t="s">
        <v>20</v>
      </c>
      <c r="F150" s="5" t="s">
        <v>21</v>
      </c>
      <c r="G150" s="5" t="s">
        <v>22</v>
      </c>
      <c r="H150" s="5" t="s">
        <v>23</v>
      </c>
      <c r="I150" s="63" t="s">
        <v>1199</v>
      </c>
      <c r="J150" s="66" t="s">
        <v>1181</v>
      </c>
      <c r="L150" s="46" t="s">
        <v>673</v>
      </c>
    </row>
    <row r="151" spans="1:16" s="7" customFormat="1" ht="118.8" x14ac:dyDescent="0.25">
      <c r="A151" s="4">
        <v>13</v>
      </c>
      <c r="B151" s="5" t="s">
        <v>17</v>
      </c>
      <c r="C151" s="5" t="s">
        <v>1334</v>
      </c>
      <c r="D151" s="5" t="s">
        <v>1146</v>
      </c>
      <c r="E151" s="5" t="s">
        <v>20</v>
      </c>
      <c r="F151" s="5" t="s">
        <v>21</v>
      </c>
      <c r="G151" s="5" t="s">
        <v>22</v>
      </c>
      <c r="H151" s="5" t="s">
        <v>23</v>
      </c>
      <c r="I151" s="63" t="s">
        <v>1198</v>
      </c>
      <c r="J151" s="69" t="s">
        <v>1182</v>
      </c>
      <c r="K151" s="5"/>
      <c r="L151" s="46" t="s">
        <v>671</v>
      </c>
      <c r="M151" s="5"/>
      <c r="N151" s="5"/>
      <c r="O151" s="5"/>
      <c r="P151" s="5"/>
    </row>
    <row r="152" spans="1:16" s="7" customFormat="1" x14ac:dyDescent="0.25">
      <c r="A152" s="139" t="s">
        <v>1277</v>
      </c>
      <c r="B152" s="140"/>
      <c r="C152" s="140"/>
      <c r="D152" s="140"/>
      <c r="E152" s="140"/>
      <c r="F152" s="140"/>
      <c r="G152" s="140"/>
      <c r="H152" s="140"/>
      <c r="I152" s="140"/>
      <c r="J152" s="140"/>
      <c r="K152" s="140"/>
      <c r="L152" s="140"/>
      <c r="M152" s="140"/>
      <c r="N152" s="140"/>
      <c r="O152" s="140"/>
      <c r="P152" s="140"/>
    </row>
    <row r="153" spans="1:16" s="7" customFormat="1" ht="108" x14ac:dyDescent="0.25">
      <c r="A153" s="4">
        <v>14</v>
      </c>
      <c r="B153" s="5" t="s">
        <v>17</v>
      </c>
      <c r="C153" s="5" t="s">
        <v>1335</v>
      </c>
      <c r="D153" s="5" t="s">
        <v>54</v>
      </c>
      <c r="E153" s="5" t="s">
        <v>55</v>
      </c>
      <c r="F153" s="5" t="s">
        <v>21</v>
      </c>
      <c r="G153" s="5" t="s">
        <v>22</v>
      </c>
      <c r="H153" s="5" t="s">
        <v>23</v>
      </c>
      <c r="I153" s="5" t="s">
        <v>1197</v>
      </c>
      <c r="J153" s="5" t="s">
        <v>1183</v>
      </c>
      <c r="K153" s="5"/>
      <c r="L153" s="46" t="s">
        <v>671</v>
      </c>
      <c r="M153" s="5"/>
      <c r="N153" s="5"/>
      <c r="O153" s="5"/>
      <c r="P153" s="5"/>
    </row>
    <row r="154" spans="1:16" s="7" customFormat="1" ht="132" x14ac:dyDescent="0.25">
      <c r="A154" s="4">
        <v>15</v>
      </c>
      <c r="B154" s="5" t="s">
        <v>17</v>
      </c>
      <c r="C154" s="5" t="s">
        <v>1336</v>
      </c>
      <c r="D154" s="5" t="s">
        <v>57</v>
      </c>
      <c r="E154" s="5" t="s">
        <v>55</v>
      </c>
      <c r="F154" s="5" t="s">
        <v>1156</v>
      </c>
      <c r="G154" s="5" t="s">
        <v>22</v>
      </c>
      <c r="H154" s="5" t="s">
        <v>23</v>
      </c>
      <c r="I154" s="5" t="s">
        <v>1196</v>
      </c>
      <c r="J154" s="5" t="s">
        <v>1153</v>
      </c>
      <c r="K154" s="5" t="s">
        <v>1174</v>
      </c>
      <c r="L154" s="46" t="s">
        <v>672</v>
      </c>
      <c r="M154" s="5"/>
      <c r="N154" s="5"/>
      <c r="O154" s="5"/>
      <c r="P154" s="5"/>
    </row>
    <row r="155" spans="1:16" s="7" customFormat="1" x14ac:dyDescent="0.25">
      <c r="A155" s="139" t="s">
        <v>1278</v>
      </c>
      <c r="B155" s="140"/>
      <c r="C155" s="140"/>
      <c r="D155" s="140"/>
      <c r="E155" s="140"/>
      <c r="F155" s="140"/>
      <c r="G155" s="140"/>
      <c r="H155" s="140"/>
      <c r="I155" s="140"/>
      <c r="J155" s="140"/>
      <c r="K155" s="140"/>
      <c r="L155" s="140"/>
      <c r="M155" s="140"/>
      <c r="N155" s="140"/>
      <c r="O155" s="140"/>
      <c r="P155" s="140"/>
    </row>
    <row r="156" spans="1:16" s="7" customFormat="1" ht="48" x14ac:dyDescent="0.25">
      <c r="A156" s="4">
        <v>16</v>
      </c>
      <c r="B156" s="5" t="s">
        <v>17</v>
      </c>
      <c r="C156" s="5" t="s">
        <v>1337</v>
      </c>
      <c r="D156" s="5" t="s">
        <v>60</v>
      </c>
      <c r="E156" s="5" t="s">
        <v>61</v>
      </c>
      <c r="F156" s="5" t="s">
        <v>21</v>
      </c>
      <c r="G156" s="5" t="s">
        <v>22</v>
      </c>
      <c r="H156" s="5" t="s">
        <v>23</v>
      </c>
      <c r="I156" s="5" t="s">
        <v>1184</v>
      </c>
      <c r="J156" s="5" t="s">
        <v>63</v>
      </c>
      <c r="K156" s="5"/>
      <c r="L156" s="46" t="s">
        <v>671</v>
      </c>
      <c r="M156" s="5"/>
      <c r="N156" s="5"/>
      <c r="O156" s="5"/>
      <c r="P156" s="5"/>
    </row>
    <row r="157" spans="1:16" s="7" customFormat="1" ht="72" x14ac:dyDescent="0.25">
      <c r="A157" s="4">
        <v>17</v>
      </c>
      <c r="B157" s="5" t="s">
        <v>17</v>
      </c>
      <c r="C157" s="5" t="s">
        <v>1338</v>
      </c>
      <c r="D157" s="5" t="s">
        <v>65</v>
      </c>
      <c r="E157" s="5" t="s">
        <v>61</v>
      </c>
      <c r="F157" s="5" t="s">
        <v>21</v>
      </c>
      <c r="G157" s="5" t="s">
        <v>22</v>
      </c>
      <c r="H157" s="5" t="s">
        <v>23</v>
      </c>
      <c r="I157" s="5" t="s">
        <v>1195</v>
      </c>
      <c r="J157" s="5" t="s">
        <v>1185</v>
      </c>
      <c r="K157" s="5"/>
      <c r="L157" s="46" t="s">
        <v>671</v>
      </c>
      <c r="M157" s="5"/>
      <c r="N157" s="5"/>
      <c r="O157" s="5"/>
      <c r="P157" s="5"/>
    </row>
    <row r="158" spans="1:16" s="7" customFormat="1" x14ac:dyDescent="0.25">
      <c r="A158" s="139" t="s">
        <v>1279</v>
      </c>
      <c r="B158" s="140"/>
      <c r="C158" s="140"/>
      <c r="D158" s="140"/>
      <c r="E158" s="140"/>
      <c r="F158" s="140"/>
      <c r="G158" s="140"/>
      <c r="H158" s="140"/>
      <c r="I158" s="140"/>
      <c r="J158" s="140"/>
      <c r="K158" s="140"/>
      <c r="L158" s="140"/>
      <c r="M158" s="140"/>
      <c r="N158" s="140"/>
      <c r="O158" s="140"/>
      <c r="P158" s="140"/>
    </row>
    <row r="159" spans="1:16" s="7" customFormat="1" ht="72" x14ac:dyDescent="0.25">
      <c r="A159" s="4">
        <v>18</v>
      </c>
      <c r="B159" s="5" t="s">
        <v>17</v>
      </c>
      <c r="C159" s="5" t="s">
        <v>1339</v>
      </c>
      <c r="D159" s="5" t="s">
        <v>70</v>
      </c>
      <c r="E159" s="5" t="s">
        <v>20</v>
      </c>
      <c r="F159" s="5" t="s">
        <v>21</v>
      </c>
      <c r="G159" s="5" t="s">
        <v>22</v>
      </c>
      <c r="H159" s="5" t="s">
        <v>23</v>
      </c>
      <c r="I159" s="5" t="s">
        <v>1194</v>
      </c>
      <c r="J159" s="5" t="s">
        <v>1186</v>
      </c>
      <c r="K159" s="5"/>
      <c r="L159" s="46" t="s">
        <v>671</v>
      </c>
      <c r="M159" s="5"/>
      <c r="N159" s="5"/>
      <c r="O159" s="5"/>
      <c r="P159" s="5"/>
    </row>
    <row r="160" spans="1:16" s="7" customFormat="1" ht="72" x14ac:dyDescent="0.25">
      <c r="A160" s="4">
        <v>19</v>
      </c>
      <c r="B160" s="5" t="s">
        <v>17</v>
      </c>
      <c r="C160" s="5" t="s">
        <v>1340</v>
      </c>
      <c r="D160" s="5" t="s">
        <v>71</v>
      </c>
      <c r="E160" s="5" t="s">
        <v>20</v>
      </c>
      <c r="F160" s="5" t="s">
        <v>21</v>
      </c>
      <c r="G160" s="5" t="s">
        <v>22</v>
      </c>
      <c r="H160" s="5" t="s">
        <v>23</v>
      </c>
      <c r="I160" s="5" t="s">
        <v>1193</v>
      </c>
      <c r="J160" s="5" t="s">
        <v>1186</v>
      </c>
      <c r="K160" s="5"/>
      <c r="L160" s="46" t="s">
        <v>671</v>
      </c>
      <c r="M160" s="5"/>
      <c r="N160" s="5"/>
      <c r="O160" s="5"/>
      <c r="P160" s="5"/>
    </row>
    <row r="161" spans="1:16" s="7" customFormat="1" x14ac:dyDescent="0.25">
      <c r="A161" s="139" t="s">
        <v>1280</v>
      </c>
      <c r="B161" s="140"/>
      <c r="C161" s="140"/>
      <c r="D161" s="140"/>
      <c r="E161" s="140"/>
      <c r="F161" s="140"/>
      <c r="G161" s="140"/>
      <c r="H161" s="140"/>
      <c r="I161" s="140"/>
      <c r="J161" s="140"/>
      <c r="K161" s="140"/>
      <c r="L161" s="140"/>
      <c r="M161" s="140"/>
      <c r="N161" s="140"/>
      <c r="O161" s="140"/>
      <c r="P161" s="140"/>
    </row>
    <row r="162" spans="1:16" s="7" customFormat="1" ht="36" x14ac:dyDescent="0.25">
      <c r="A162" s="4">
        <v>20</v>
      </c>
      <c r="B162" s="5" t="s">
        <v>17</v>
      </c>
      <c r="C162" s="5" t="s">
        <v>1341</v>
      </c>
      <c r="D162" s="5" t="s">
        <v>74</v>
      </c>
      <c r="E162" s="5" t="s">
        <v>55</v>
      </c>
      <c r="F162" s="5" t="s">
        <v>21</v>
      </c>
      <c r="G162" s="5" t="s">
        <v>22</v>
      </c>
      <c r="H162" s="5" t="s">
        <v>23</v>
      </c>
      <c r="I162" s="5" t="s">
        <v>1192</v>
      </c>
      <c r="J162" s="5" t="s">
        <v>76</v>
      </c>
      <c r="K162" s="5"/>
      <c r="L162" s="46" t="s">
        <v>671</v>
      </c>
      <c r="M162" s="5"/>
      <c r="N162" s="5"/>
      <c r="O162" s="5"/>
      <c r="P162" s="5"/>
    </row>
    <row r="163" spans="1:16" s="7" customFormat="1" ht="36" x14ac:dyDescent="0.25">
      <c r="A163" s="4">
        <v>21</v>
      </c>
      <c r="B163" s="5" t="s">
        <v>17</v>
      </c>
      <c r="C163" s="5" t="s">
        <v>1342</v>
      </c>
      <c r="D163" s="5" t="s">
        <v>78</v>
      </c>
      <c r="E163" s="5" t="s">
        <v>55</v>
      </c>
      <c r="F163" s="5" t="s">
        <v>21</v>
      </c>
      <c r="G163" s="5" t="s">
        <v>22</v>
      </c>
      <c r="H163" s="5" t="s">
        <v>23</v>
      </c>
      <c r="I163" s="5" t="s">
        <v>1191</v>
      </c>
      <c r="J163" s="5" t="s">
        <v>1187</v>
      </c>
      <c r="K163" s="5"/>
      <c r="L163" s="46" t="s">
        <v>671</v>
      </c>
      <c r="M163" s="5"/>
      <c r="N163" s="5"/>
      <c r="O163" s="5"/>
      <c r="P163" s="5"/>
    </row>
    <row r="164" spans="1:16" s="7" customFormat="1" x14ac:dyDescent="0.25">
      <c r="A164" s="139" t="s">
        <v>1281</v>
      </c>
      <c r="B164" s="140"/>
      <c r="C164" s="140"/>
      <c r="D164" s="140"/>
      <c r="E164" s="140"/>
      <c r="F164" s="140"/>
      <c r="G164" s="140"/>
      <c r="H164" s="140"/>
      <c r="I164" s="140"/>
      <c r="J164" s="140"/>
      <c r="K164" s="140"/>
      <c r="L164" s="140"/>
      <c r="M164" s="140"/>
      <c r="N164" s="140"/>
      <c r="O164" s="140"/>
      <c r="P164" s="140"/>
    </row>
    <row r="165" spans="1:16" s="7" customFormat="1" ht="36" x14ac:dyDescent="0.25">
      <c r="A165" s="4">
        <v>22</v>
      </c>
      <c r="B165" s="5" t="s">
        <v>17</v>
      </c>
      <c r="C165" s="5" t="s">
        <v>1343</v>
      </c>
      <c r="D165" s="5" t="s">
        <v>82</v>
      </c>
      <c r="E165" s="5" t="s">
        <v>20</v>
      </c>
      <c r="F165" s="5" t="s">
        <v>21</v>
      </c>
      <c r="G165" s="5" t="s">
        <v>22</v>
      </c>
      <c r="H165" s="5" t="s">
        <v>23</v>
      </c>
      <c r="I165" s="5" t="s">
        <v>1190</v>
      </c>
      <c r="J165" s="5" t="s">
        <v>76</v>
      </c>
      <c r="K165" s="5"/>
      <c r="L165" s="46" t="s">
        <v>671</v>
      </c>
      <c r="M165" s="5"/>
      <c r="N165" s="5"/>
      <c r="O165" s="5"/>
      <c r="P165" s="5"/>
    </row>
    <row r="166" spans="1:16" s="7" customFormat="1" ht="36" x14ac:dyDescent="0.25">
      <c r="A166" s="4">
        <v>23</v>
      </c>
      <c r="B166" s="5" t="s">
        <v>17</v>
      </c>
      <c r="C166" s="5" t="s">
        <v>1344</v>
      </c>
      <c r="D166" s="5" t="s">
        <v>84</v>
      </c>
      <c r="E166" s="5" t="s">
        <v>20</v>
      </c>
      <c r="F166" s="5" t="s">
        <v>21</v>
      </c>
      <c r="G166" s="5" t="s">
        <v>22</v>
      </c>
      <c r="H166" s="5" t="s">
        <v>23</v>
      </c>
      <c r="I166" s="5" t="s">
        <v>1189</v>
      </c>
      <c r="J166" s="5" t="s">
        <v>1188</v>
      </c>
      <c r="K166" s="5"/>
      <c r="L166" s="46" t="s">
        <v>671</v>
      </c>
      <c r="M166" s="5"/>
      <c r="N166" s="5"/>
      <c r="O166" s="5"/>
      <c r="P166" s="5"/>
    </row>
    <row r="167" spans="1:16" s="7" customFormat="1" ht="86.4" customHeight="1" x14ac:dyDescent="0.25">
      <c r="A167" s="4">
        <v>25</v>
      </c>
      <c r="B167" s="5" t="s">
        <v>17</v>
      </c>
      <c r="C167" s="5" t="s">
        <v>1345</v>
      </c>
      <c r="D167" s="5" t="s">
        <v>1171</v>
      </c>
      <c r="E167" s="5" t="s">
        <v>20</v>
      </c>
      <c r="F167" s="5" t="s">
        <v>21</v>
      </c>
      <c r="G167" s="5" t="s">
        <v>22</v>
      </c>
      <c r="H167" s="5" t="s">
        <v>23</v>
      </c>
      <c r="I167" s="5" t="s">
        <v>1256</v>
      </c>
      <c r="J167" s="5" t="s">
        <v>1255</v>
      </c>
      <c r="K167" s="5"/>
      <c r="L167" s="46" t="s">
        <v>671</v>
      </c>
      <c r="M167" s="5"/>
      <c r="N167" s="5"/>
      <c r="O167" s="5"/>
      <c r="P167" s="5"/>
    </row>
  </sheetData>
  <mergeCells count="46">
    <mergeCell ref="A56:P56"/>
    <mergeCell ref="A114:P114"/>
    <mergeCell ref="A46:P46"/>
    <mergeCell ref="A2:A3"/>
    <mergeCell ref="A38:P38"/>
    <mergeCell ref="K2:K3"/>
    <mergeCell ref="A32:P32"/>
    <mergeCell ref="M2:M3"/>
    <mergeCell ref="B2:B3"/>
    <mergeCell ref="A4:P4"/>
    <mergeCell ref="A45:P45"/>
    <mergeCell ref="J2:J3"/>
    <mergeCell ref="L2:L3"/>
    <mergeCell ref="A35:P35"/>
    <mergeCell ref="A15:P15"/>
    <mergeCell ref="A29:P29"/>
    <mergeCell ref="C2:F2"/>
    <mergeCell ref="G2:G3"/>
    <mergeCell ref="I2:I3"/>
    <mergeCell ref="A41:P41"/>
    <mergeCell ref="A5:P5"/>
    <mergeCell ref="H2:H3"/>
    <mergeCell ref="A25:P25"/>
    <mergeCell ref="A86:P86"/>
    <mergeCell ref="A87:P87"/>
    <mergeCell ref="A97:P97"/>
    <mergeCell ref="A107:P107"/>
    <mergeCell ref="A138:P138"/>
    <mergeCell ref="A111:P111"/>
    <mergeCell ref="A117:P117"/>
    <mergeCell ref="A120:P120"/>
    <mergeCell ref="A123:P123"/>
    <mergeCell ref="A127:P127"/>
    <mergeCell ref="A128:P128"/>
    <mergeCell ref="A66:P66"/>
    <mergeCell ref="A70:P70"/>
    <mergeCell ref="A76:P76"/>
    <mergeCell ref="A79:P79"/>
    <mergeCell ref="A82:P82"/>
    <mergeCell ref="A73:P73"/>
    <mergeCell ref="A164:P164"/>
    <mergeCell ref="A148:P148"/>
    <mergeCell ref="A152:P152"/>
    <mergeCell ref="A155:P155"/>
    <mergeCell ref="A158:P158"/>
    <mergeCell ref="A161:P161"/>
  </mergeCells>
  <phoneticPr fontId="4" type="noConversion"/>
  <conditionalFormatting sqref="L6 L8:L13">
    <cfRule type="cellIs" dxfId="271" priority="77" operator="equal">
      <formula>"Fail"</formula>
    </cfRule>
  </conditionalFormatting>
  <conditionalFormatting sqref="L7">
    <cfRule type="cellIs" dxfId="270" priority="76" operator="equal">
      <formula>"Fail"</formula>
    </cfRule>
  </conditionalFormatting>
  <conditionalFormatting sqref="L19:L21">
    <cfRule type="cellIs" dxfId="269" priority="74" operator="equal">
      <formula>"Fail"</formula>
    </cfRule>
  </conditionalFormatting>
  <conditionalFormatting sqref="L14">
    <cfRule type="cellIs" dxfId="268" priority="73" operator="equal">
      <formula>"Fail"</formula>
    </cfRule>
  </conditionalFormatting>
  <conditionalFormatting sqref="L16">
    <cfRule type="cellIs" dxfId="267" priority="72" operator="equal">
      <formula>"Fail"</formula>
    </cfRule>
  </conditionalFormatting>
  <conditionalFormatting sqref="L17">
    <cfRule type="cellIs" dxfId="266" priority="71" operator="equal">
      <formula>"Fail"</formula>
    </cfRule>
  </conditionalFormatting>
  <conditionalFormatting sqref="L18">
    <cfRule type="cellIs" dxfId="265" priority="70" operator="equal">
      <formula>"Fail"</formula>
    </cfRule>
  </conditionalFormatting>
  <conditionalFormatting sqref="L22">
    <cfRule type="cellIs" dxfId="264" priority="69" operator="equal">
      <formula>"Fail"</formula>
    </cfRule>
  </conditionalFormatting>
  <conditionalFormatting sqref="L23">
    <cfRule type="cellIs" dxfId="263" priority="68" operator="equal">
      <formula>"Fail"</formula>
    </cfRule>
  </conditionalFormatting>
  <conditionalFormatting sqref="L24">
    <cfRule type="cellIs" dxfId="262" priority="67" operator="equal">
      <formula>"Fail"</formula>
    </cfRule>
  </conditionalFormatting>
  <conditionalFormatting sqref="L28">
    <cfRule type="cellIs" dxfId="261" priority="66" operator="equal">
      <formula>"Fail"</formula>
    </cfRule>
  </conditionalFormatting>
  <conditionalFormatting sqref="L26:L27">
    <cfRule type="cellIs" dxfId="260" priority="65" operator="equal">
      <formula>"Fail"</formula>
    </cfRule>
  </conditionalFormatting>
  <conditionalFormatting sqref="L30">
    <cfRule type="cellIs" dxfId="259" priority="64" operator="equal">
      <formula>"Fail"</formula>
    </cfRule>
  </conditionalFormatting>
  <conditionalFormatting sqref="L31">
    <cfRule type="cellIs" dxfId="258" priority="63" operator="equal">
      <formula>"Fail"</formula>
    </cfRule>
  </conditionalFormatting>
  <conditionalFormatting sqref="L33">
    <cfRule type="cellIs" dxfId="257" priority="62" operator="equal">
      <formula>"Fail"</formula>
    </cfRule>
  </conditionalFormatting>
  <conditionalFormatting sqref="L34">
    <cfRule type="cellIs" dxfId="256" priority="61" operator="equal">
      <formula>"Fail"</formula>
    </cfRule>
  </conditionalFormatting>
  <conditionalFormatting sqref="L36:L37">
    <cfRule type="cellIs" dxfId="255" priority="60" operator="equal">
      <formula>"Fail"</formula>
    </cfRule>
  </conditionalFormatting>
  <conditionalFormatting sqref="L39:L40">
    <cfRule type="cellIs" dxfId="254" priority="59" operator="equal">
      <formula>"Fail"</formula>
    </cfRule>
  </conditionalFormatting>
  <conditionalFormatting sqref="L42:L44">
    <cfRule type="cellIs" dxfId="253" priority="58" operator="equal">
      <formula>"Fail"</formula>
    </cfRule>
  </conditionalFormatting>
  <conditionalFormatting sqref="L47 L49:L54">
    <cfRule type="cellIs" dxfId="252" priority="57" operator="equal">
      <formula>"Fail"</formula>
    </cfRule>
  </conditionalFormatting>
  <conditionalFormatting sqref="L48">
    <cfRule type="cellIs" dxfId="251" priority="56" operator="equal">
      <formula>"Fail"</formula>
    </cfRule>
  </conditionalFormatting>
  <conditionalFormatting sqref="L60:L62">
    <cfRule type="cellIs" dxfId="250" priority="55" operator="equal">
      <formula>"Fail"</formula>
    </cfRule>
  </conditionalFormatting>
  <conditionalFormatting sqref="L55">
    <cfRule type="cellIs" dxfId="249" priority="54" operator="equal">
      <formula>"Fail"</formula>
    </cfRule>
  </conditionalFormatting>
  <conditionalFormatting sqref="L57">
    <cfRule type="cellIs" dxfId="248" priority="53" operator="equal">
      <formula>"Fail"</formula>
    </cfRule>
  </conditionalFormatting>
  <conditionalFormatting sqref="L58">
    <cfRule type="cellIs" dxfId="247" priority="52" operator="equal">
      <formula>"Fail"</formula>
    </cfRule>
  </conditionalFormatting>
  <conditionalFormatting sqref="L59">
    <cfRule type="cellIs" dxfId="246" priority="51" operator="equal">
      <formula>"Fail"</formula>
    </cfRule>
  </conditionalFormatting>
  <conditionalFormatting sqref="L63">
    <cfRule type="cellIs" dxfId="245" priority="50" operator="equal">
      <formula>"Fail"</formula>
    </cfRule>
  </conditionalFormatting>
  <conditionalFormatting sqref="L64">
    <cfRule type="cellIs" dxfId="244" priority="49" operator="equal">
      <formula>"Fail"</formula>
    </cfRule>
  </conditionalFormatting>
  <conditionalFormatting sqref="L65">
    <cfRule type="cellIs" dxfId="243" priority="48" operator="equal">
      <formula>"Fail"</formula>
    </cfRule>
  </conditionalFormatting>
  <conditionalFormatting sqref="L69">
    <cfRule type="cellIs" dxfId="242" priority="47" operator="equal">
      <formula>"Fail"</formula>
    </cfRule>
  </conditionalFormatting>
  <conditionalFormatting sqref="L67:L68">
    <cfRule type="cellIs" dxfId="241" priority="46" operator="equal">
      <formula>"Fail"</formula>
    </cfRule>
  </conditionalFormatting>
  <conditionalFormatting sqref="L71">
    <cfRule type="cellIs" dxfId="240" priority="45" operator="equal">
      <formula>"Fail"</formula>
    </cfRule>
  </conditionalFormatting>
  <conditionalFormatting sqref="L72">
    <cfRule type="cellIs" dxfId="239" priority="44" operator="equal">
      <formula>"Fail"</formula>
    </cfRule>
  </conditionalFormatting>
  <conditionalFormatting sqref="L74">
    <cfRule type="cellIs" dxfId="238" priority="43" operator="equal">
      <formula>"Fail"</formula>
    </cfRule>
  </conditionalFormatting>
  <conditionalFormatting sqref="L75">
    <cfRule type="cellIs" dxfId="237" priority="42" operator="equal">
      <formula>"Fail"</formula>
    </cfRule>
  </conditionalFormatting>
  <conditionalFormatting sqref="L77:L78">
    <cfRule type="cellIs" dxfId="236" priority="41" operator="equal">
      <formula>"Fail"</formula>
    </cfRule>
  </conditionalFormatting>
  <conditionalFormatting sqref="L80:L81">
    <cfRule type="cellIs" dxfId="235" priority="40" operator="equal">
      <formula>"Fail"</formula>
    </cfRule>
  </conditionalFormatting>
  <conditionalFormatting sqref="L83:L85">
    <cfRule type="cellIs" dxfId="234" priority="39" operator="equal">
      <formula>"Fail"</formula>
    </cfRule>
  </conditionalFormatting>
  <conditionalFormatting sqref="L88 L90:L95">
    <cfRule type="cellIs" dxfId="233" priority="38" operator="equal">
      <formula>"Fail"</formula>
    </cfRule>
  </conditionalFormatting>
  <conditionalFormatting sqref="L89">
    <cfRule type="cellIs" dxfId="232" priority="37" operator="equal">
      <formula>"Fail"</formula>
    </cfRule>
  </conditionalFormatting>
  <conditionalFormatting sqref="L101:L103">
    <cfRule type="cellIs" dxfId="231" priority="36" operator="equal">
      <formula>"Fail"</formula>
    </cfRule>
  </conditionalFormatting>
  <conditionalFormatting sqref="L96">
    <cfRule type="cellIs" dxfId="230" priority="35" operator="equal">
      <formula>"Fail"</formula>
    </cfRule>
  </conditionalFormatting>
  <conditionalFormatting sqref="L98">
    <cfRule type="cellIs" dxfId="229" priority="34" operator="equal">
      <formula>"Fail"</formula>
    </cfRule>
  </conditionalFormatting>
  <conditionalFormatting sqref="L99">
    <cfRule type="cellIs" dxfId="228" priority="33" operator="equal">
      <formula>"Fail"</formula>
    </cfRule>
  </conditionalFormatting>
  <conditionalFormatting sqref="L100">
    <cfRule type="cellIs" dxfId="227" priority="32" operator="equal">
      <formula>"Fail"</formula>
    </cfRule>
  </conditionalFormatting>
  <conditionalFormatting sqref="L104">
    <cfRule type="cellIs" dxfId="226" priority="31" operator="equal">
      <formula>"Fail"</formula>
    </cfRule>
  </conditionalFormatting>
  <conditionalFormatting sqref="L105">
    <cfRule type="cellIs" dxfId="225" priority="30" operator="equal">
      <formula>"Fail"</formula>
    </cfRule>
  </conditionalFormatting>
  <conditionalFormatting sqref="L106">
    <cfRule type="cellIs" dxfId="224" priority="29" operator="equal">
      <formula>"Fail"</formula>
    </cfRule>
  </conditionalFormatting>
  <conditionalFormatting sqref="L110">
    <cfRule type="cellIs" dxfId="223" priority="28" operator="equal">
      <formula>"Fail"</formula>
    </cfRule>
  </conditionalFormatting>
  <conditionalFormatting sqref="L108:L109">
    <cfRule type="cellIs" dxfId="222" priority="27" operator="equal">
      <formula>"Fail"</formula>
    </cfRule>
  </conditionalFormatting>
  <conditionalFormatting sqref="L112">
    <cfRule type="cellIs" dxfId="221" priority="26" operator="equal">
      <formula>"Fail"</formula>
    </cfRule>
  </conditionalFormatting>
  <conditionalFormatting sqref="L113">
    <cfRule type="cellIs" dxfId="220" priority="25" operator="equal">
      <formula>"Fail"</formula>
    </cfRule>
  </conditionalFormatting>
  <conditionalFormatting sqref="L115">
    <cfRule type="cellIs" dxfId="219" priority="24" operator="equal">
      <formula>"Fail"</formula>
    </cfRule>
  </conditionalFormatting>
  <conditionalFormatting sqref="L116">
    <cfRule type="cellIs" dxfId="218" priority="23" operator="equal">
      <formula>"Fail"</formula>
    </cfRule>
  </conditionalFormatting>
  <conditionalFormatting sqref="L118:L119">
    <cfRule type="cellIs" dxfId="217" priority="22" operator="equal">
      <formula>"Fail"</formula>
    </cfRule>
  </conditionalFormatting>
  <conditionalFormatting sqref="L121:L122">
    <cfRule type="cellIs" dxfId="216" priority="21" operator="equal">
      <formula>"Fail"</formula>
    </cfRule>
  </conditionalFormatting>
  <conditionalFormatting sqref="L124:L126">
    <cfRule type="cellIs" dxfId="215" priority="20" operator="equal">
      <formula>"Fail"</formula>
    </cfRule>
  </conditionalFormatting>
  <conditionalFormatting sqref="L129 L131:L136">
    <cfRule type="cellIs" dxfId="214" priority="19" operator="equal">
      <formula>"Fail"</formula>
    </cfRule>
  </conditionalFormatting>
  <conditionalFormatting sqref="L130">
    <cfRule type="cellIs" dxfId="213" priority="18" operator="equal">
      <formula>"Fail"</formula>
    </cfRule>
  </conditionalFormatting>
  <conditionalFormatting sqref="L142:L144">
    <cfRule type="cellIs" dxfId="212" priority="17" operator="equal">
      <formula>"Fail"</formula>
    </cfRule>
  </conditionalFormatting>
  <conditionalFormatting sqref="L137">
    <cfRule type="cellIs" dxfId="211" priority="16" operator="equal">
      <formula>"Fail"</formula>
    </cfRule>
  </conditionalFormatting>
  <conditionalFormatting sqref="L139">
    <cfRule type="cellIs" dxfId="210" priority="15" operator="equal">
      <formula>"Fail"</formula>
    </cfRule>
  </conditionalFormatting>
  <conditionalFormatting sqref="L140">
    <cfRule type="cellIs" dxfId="209" priority="14" operator="equal">
      <formula>"Fail"</formula>
    </cfRule>
  </conditionalFormatting>
  <conditionalFormatting sqref="L141">
    <cfRule type="cellIs" dxfId="208" priority="13" operator="equal">
      <formula>"Fail"</formula>
    </cfRule>
  </conditionalFormatting>
  <conditionalFormatting sqref="L145">
    <cfRule type="cellIs" dxfId="207" priority="12" operator="equal">
      <formula>"Fail"</formula>
    </cfRule>
  </conditionalFormatting>
  <conditionalFormatting sqref="L146">
    <cfRule type="cellIs" dxfId="206" priority="11" operator="equal">
      <formula>"Fail"</formula>
    </cfRule>
  </conditionalFormatting>
  <conditionalFormatting sqref="L147">
    <cfRule type="cellIs" dxfId="205" priority="10" operator="equal">
      <formula>"Fail"</formula>
    </cfRule>
  </conditionalFormatting>
  <conditionalFormatting sqref="L151">
    <cfRule type="cellIs" dxfId="204" priority="9" operator="equal">
      <formula>"Fail"</formula>
    </cfRule>
  </conditionalFormatting>
  <conditionalFormatting sqref="L149:L150">
    <cfRule type="cellIs" dxfId="203" priority="8" operator="equal">
      <formula>"Fail"</formula>
    </cfRule>
  </conditionalFormatting>
  <conditionalFormatting sqref="L153">
    <cfRule type="cellIs" dxfId="202" priority="7" operator="equal">
      <formula>"Fail"</formula>
    </cfRule>
  </conditionalFormatting>
  <conditionalFormatting sqref="L154">
    <cfRule type="cellIs" dxfId="201" priority="6" operator="equal">
      <formula>"Fail"</formula>
    </cfRule>
  </conditionalFormatting>
  <conditionalFormatting sqref="L156">
    <cfRule type="cellIs" dxfId="200" priority="5" operator="equal">
      <formula>"Fail"</formula>
    </cfRule>
  </conditionalFormatting>
  <conditionalFormatting sqref="L157">
    <cfRule type="cellIs" dxfId="199" priority="4" operator="equal">
      <formula>"Fail"</formula>
    </cfRule>
  </conditionalFormatting>
  <conditionalFormatting sqref="L159:L160">
    <cfRule type="cellIs" dxfId="198" priority="3" operator="equal">
      <formula>"Fail"</formula>
    </cfRule>
  </conditionalFormatting>
  <conditionalFormatting sqref="L162:L163">
    <cfRule type="cellIs" dxfId="197" priority="2" operator="equal">
      <formula>"Fail"</formula>
    </cfRule>
  </conditionalFormatting>
  <conditionalFormatting sqref="L165:L167">
    <cfRule type="cellIs" dxfId="196" priority="1" operator="equal">
      <formula>"Fail"</formula>
    </cfRule>
  </conditionalFormatting>
  <dataValidations count="2">
    <dataValidation type="list" allowBlank="1" showInputMessage="1" showErrorMessage="1" sqref="L6:L14 L16:L24 L26:L28 L30:L31 L33:L34 L36:L37 L39:L40 L42:L44 L47:L55 L57:L65 L67:L69 L71:L72 L74:L75 L77:L78 L80:L81 L83:L85 L88:L96 L98:L106 L108:L110 L112:L113 L115:L116 L118:L119 L121:L122 L124:L126 L129:L137 L139:L147 L149:L151 L153:L154 L156:L157 L159:L160 L162:L163 L165:L167">
      <formula1>"Pass,Fail,Not Apply,Block,Skip"</formula1>
    </dataValidation>
    <dataValidation type="list" allowBlank="1" showInputMessage="1" showErrorMessage="1" sqref="E9:E11 E16:E24 E50:E52 E57:E65 E91:E93 E98:E106 E132:E134 E139:E147">
      <formula1>"High,Medium,Low"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topLeftCell="A25" workbookViewId="0">
      <selection activeCell="L26" sqref="L26"/>
    </sheetView>
  </sheetViews>
  <sheetFormatPr defaultRowHeight="14.4" x14ac:dyDescent="0.25"/>
  <cols>
    <col min="1" max="1" width="12" customWidth="1"/>
    <col min="2" max="2" width="8.6640625" customWidth="1"/>
    <col min="3" max="3" width="20.33203125" customWidth="1"/>
    <col min="4" max="4" width="21.6640625" customWidth="1"/>
    <col min="5" max="5" width="8" customWidth="1"/>
    <col min="6" max="6" width="10" customWidth="1"/>
    <col min="7" max="7" width="16" customWidth="1"/>
    <col min="8" max="8" width="14" customWidth="1"/>
    <col min="9" max="9" width="69.5546875" customWidth="1"/>
    <col min="10"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779</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47.4" customHeight="1" x14ac:dyDescent="0.25">
      <c r="A6" s="4">
        <v>1</v>
      </c>
      <c r="B6" s="5" t="s">
        <v>17</v>
      </c>
      <c r="C6" s="5" t="s">
        <v>93</v>
      </c>
      <c r="D6" s="5" t="s">
        <v>94</v>
      </c>
      <c r="E6" s="5" t="s">
        <v>20</v>
      </c>
      <c r="F6" s="5" t="s">
        <v>21</v>
      </c>
      <c r="G6" s="5" t="s">
        <v>22</v>
      </c>
      <c r="H6" s="5" t="s">
        <v>23</v>
      </c>
      <c r="I6" s="5" t="s">
        <v>1359</v>
      </c>
      <c r="J6" s="5" t="s">
        <v>1656</v>
      </c>
      <c r="K6" s="5" t="s">
        <v>1348</v>
      </c>
      <c r="L6" s="46" t="s">
        <v>672</v>
      </c>
      <c r="M6" s="5"/>
      <c r="N6" s="5"/>
      <c r="O6" s="5"/>
      <c r="P6" s="5"/>
    </row>
    <row r="7" spans="1:16" ht="72" x14ac:dyDescent="0.25">
      <c r="A7" s="4">
        <v>2</v>
      </c>
      <c r="B7" s="5" t="s">
        <v>17</v>
      </c>
      <c r="C7" s="5" t="s">
        <v>95</v>
      </c>
      <c r="D7" s="5" t="s">
        <v>96</v>
      </c>
      <c r="E7" s="5" t="s">
        <v>20</v>
      </c>
      <c r="F7" s="5" t="s">
        <v>21</v>
      </c>
      <c r="G7" s="5" t="s">
        <v>22</v>
      </c>
      <c r="H7" s="5" t="s">
        <v>23</v>
      </c>
      <c r="I7" s="5" t="s">
        <v>1355</v>
      </c>
      <c r="J7" s="5" t="s">
        <v>1662</v>
      </c>
      <c r="K7" s="5"/>
      <c r="L7" s="46" t="s">
        <v>671</v>
      </c>
      <c r="M7" s="5"/>
      <c r="N7" s="5"/>
      <c r="O7" s="5"/>
      <c r="P7" s="5"/>
    </row>
    <row r="8" spans="1:16" ht="43.2" customHeight="1" x14ac:dyDescent="0.25">
      <c r="A8" s="4">
        <v>3</v>
      </c>
      <c r="B8" s="5" t="s">
        <v>17</v>
      </c>
      <c r="C8" s="5" t="s">
        <v>97</v>
      </c>
      <c r="D8" s="5" t="s">
        <v>98</v>
      </c>
      <c r="E8" s="5" t="s">
        <v>20</v>
      </c>
      <c r="F8" s="5" t="s">
        <v>21</v>
      </c>
      <c r="G8" s="5" t="s">
        <v>22</v>
      </c>
      <c r="H8" s="5" t="s">
        <v>23</v>
      </c>
      <c r="I8" s="5" t="s">
        <v>1356</v>
      </c>
      <c r="J8" s="5" t="s">
        <v>1640</v>
      </c>
      <c r="K8" s="5"/>
      <c r="L8" s="46" t="s">
        <v>671</v>
      </c>
      <c r="M8" s="5"/>
      <c r="N8" s="5"/>
      <c r="O8" s="5"/>
      <c r="P8" s="5"/>
    </row>
    <row r="9" spans="1:16" x14ac:dyDescent="0.25">
      <c r="A9" s="139" t="s">
        <v>43</v>
      </c>
      <c r="B9" s="140"/>
      <c r="C9" s="140"/>
      <c r="D9" s="140"/>
      <c r="E9" s="140"/>
      <c r="F9" s="140"/>
      <c r="G9" s="140"/>
      <c r="H9" s="140"/>
      <c r="I9" s="140"/>
      <c r="J9" s="140"/>
      <c r="K9" s="140"/>
      <c r="L9" s="140"/>
      <c r="M9" s="140"/>
      <c r="N9" s="140"/>
      <c r="O9" s="140"/>
      <c r="P9" s="140"/>
    </row>
    <row r="10" spans="1:16" ht="47.4" customHeight="1" x14ac:dyDescent="0.25">
      <c r="A10" s="4">
        <v>4</v>
      </c>
      <c r="B10" s="5" t="s">
        <v>17</v>
      </c>
      <c r="C10" s="5" t="s">
        <v>99</v>
      </c>
      <c r="D10" s="5" t="s">
        <v>100</v>
      </c>
      <c r="E10" s="5" t="s">
        <v>20</v>
      </c>
      <c r="F10" s="5" t="s">
        <v>21</v>
      </c>
      <c r="G10" s="5" t="s">
        <v>22</v>
      </c>
      <c r="H10" s="5" t="s">
        <v>23</v>
      </c>
      <c r="I10" s="5" t="s">
        <v>1357</v>
      </c>
      <c r="J10" s="5" t="s">
        <v>1657</v>
      </c>
      <c r="K10" s="5" t="s">
        <v>1361</v>
      </c>
      <c r="L10" s="46" t="s">
        <v>672</v>
      </c>
      <c r="M10" s="5"/>
      <c r="N10" s="5"/>
      <c r="O10" s="5"/>
      <c r="P10" s="5"/>
    </row>
    <row r="11" spans="1:16" ht="84" customHeight="1" x14ac:dyDescent="0.25">
      <c r="A11" s="4">
        <v>5</v>
      </c>
      <c r="B11" s="5" t="s">
        <v>17</v>
      </c>
      <c r="C11" s="5" t="s">
        <v>101</v>
      </c>
      <c r="D11" s="5" t="s">
        <v>102</v>
      </c>
      <c r="E11" s="5" t="s">
        <v>20</v>
      </c>
      <c r="F11" s="5" t="s">
        <v>21</v>
      </c>
      <c r="G11" s="5" t="s">
        <v>22</v>
      </c>
      <c r="H11" s="5" t="s">
        <v>23</v>
      </c>
      <c r="I11" s="5" t="s">
        <v>1358</v>
      </c>
      <c r="J11" s="5" t="s">
        <v>1663</v>
      </c>
      <c r="K11" s="5" t="s">
        <v>1361</v>
      </c>
      <c r="L11" s="46" t="s">
        <v>672</v>
      </c>
      <c r="M11" s="5"/>
      <c r="N11" s="5"/>
      <c r="O11" s="5"/>
      <c r="P11" s="5"/>
    </row>
    <row r="12" spans="1:16" ht="132" x14ac:dyDescent="0.25">
      <c r="A12" s="4">
        <v>6</v>
      </c>
      <c r="B12" s="5" t="s">
        <v>17</v>
      </c>
      <c r="C12" s="5" t="s">
        <v>103</v>
      </c>
      <c r="D12" s="5" t="s">
        <v>104</v>
      </c>
      <c r="E12" s="5" t="s">
        <v>20</v>
      </c>
      <c r="F12" s="5" t="s">
        <v>21</v>
      </c>
      <c r="G12" s="5" t="s">
        <v>22</v>
      </c>
      <c r="H12" s="5" t="s">
        <v>23</v>
      </c>
      <c r="I12" s="5" t="s">
        <v>1360</v>
      </c>
      <c r="J12" s="5" t="s">
        <v>1641</v>
      </c>
      <c r="K12" s="5" t="s">
        <v>1361</v>
      </c>
      <c r="L12" s="46" t="s">
        <v>672</v>
      </c>
      <c r="M12" s="5"/>
      <c r="N12" s="5"/>
      <c r="O12" s="5"/>
      <c r="P12" s="5"/>
    </row>
    <row r="13" spans="1:16" x14ac:dyDescent="0.25">
      <c r="A13" s="139" t="s">
        <v>49</v>
      </c>
      <c r="B13" s="140"/>
      <c r="C13" s="140"/>
      <c r="D13" s="140"/>
      <c r="E13" s="140"/>
      <c r="F13" s="140"/>
      <c r="G13" s="140"/>
      <c r="H13" s="140"/>
      <c r="I13" s="140"/>
      <c r="J13" s="140"/>
      <c r="K13" s="140"/>
      <c r="L13" s="140"/>
      <c r="M13" s="140"/>
      <c r="N13" s="140"/>
      <c r="O13" s="140"/>
      <c r="P13" s="140"/>
    </row>
    <row r="14" spans="1:16" ht="60" x14ac:dyDescent="0.25">
      <c r="A14" s="4">
        <v>7</v>
      </c>
      <c r="B14" s="5" t="s">
        <v>17</v>
      </c>
      <c r="C14" s="5" t="s">
        <v>105</v>
      </c>
      <c r="D14" s="5" t="s">
        <v>106</v>
      </c>
      <c r="E14" s="5" t="s">
        <v>20</v>
      </c>
      <c r="F14" s="5" t="s">
        <v>21</v>
      </c>
      <c r="G14" s="5" t="s">
        <v>22</v>
      </c>
      <c r="H14" s="5" t="s">
        <v>23</v>
      </c>
      <c r="I14" s="5" t="s">
        <v>1353</v>
      </c>
      <c r="J14" s="5" t="s">
        <v>1642</v>
      </c>
      <c r="K14" s="5"/>
      <c r="L14" s="46" t="s">
        <v>671</v>
      </c>
      <c r="M14" s="5"/>
      <c r="N14" s="5"/>
      <c r="O14" s="5"/>
      <c r="P14" s="5"/>
    </row>
    <row r="15" spans="1:16" x14ac:dyDescent="0.25">
      <c r="A15" s="139" t="s">
        <v>107</v>
      </c>
      <c r="B15" s="140"/>
      <c r="C15" s="140"/>
      <c r="D15" s="140"/>
      <c r="E15" s="140"/>
      <c r="F15" s="140"/>
      <c r="G15" s="140"/>
      <c r="H15" s="140"/>
      <c r="I15" s="140"/>
      <c r="J15" s="140"/>
      <c r="K15" s="140"/>
      <c r="L15" s="140"/>
      <c r="M15" s="140"/>
      <c r="N15" s="140"/>
      <c r="O15" s="140"/>
      <c r="P15" s="140"/>
    </row>
    <row r="16" spans="1:16" ht="60" x14ac:dyDescent="0.25">
      <c r="A16" s="4">
        <v>8</v>
      </c>
      <c r="B16" s="5" t="s">
        <v>17</v>
      </c>
      <c r="C16" s="5" t="s">
        <v>108</v>
      </c>
      <c r="D16" s="5" t="s">
        <v>109</v>
      </c>
      <c r="E16" s="5" t="s">
        <v>20</v>
      </c>
      <c r="F16" s="5" t="s">
        <v>21</v>
      </c>
      <c r="G16" s="5" t="s">
        <v>22</v>
      </c>
      <c r="H16" s="5" t="s">
        <v>23</v>
      </c>
      <c r="I16" s="5" t="s">
        <v>1362</v>
      </c>
      <c r="J16" s="5" t="s">
        <v>1643</v>
      </c>
      <c r="K16" s="5"/>
      <c r="L16" s="46" t="s">
        <v>671</v>
      </c>
      <c r="M16" s="5"/>
      <c r="N16" s="5"/>
      <c r="O16" s="5"/>
      <c r="P16" s="5"/>
    </row>
    <row r="17" spans="1:16" x14ac:dyDescent="0.25">
      <c r="A17" s="139" t="s">
        <v>110</v>
      </c>
      <c r="B17" s="140"/>
      <c r="C17" s="140"/>
      <c r="D17" s="140"/>
      <c r="E17" s="140"/>
      <c r="F17" s="140"/>
      <c r="G17" s="140"/>
      <c r="H17" s="140"/>
      <c r="I17" s="140"/>
      <c r="J17" s="140"/>
      <c r="K17" s="140"/>
      <c r="L17" s="140"/>
      <c r="M17" s="140"/>
      <c r="N17" s="140"/>
      <c r="O17" s="140"/>
      <c r="P17" s="140"/>
    </row>
    <row r="18" spans="1:16" ht="72" x14ac:dyDescent="0.25">
      <c r="A18" s="4">
        <v>9</v>
      </c>
      <c r="B18" s="5" t="s">
        <v>17</v>
      </c>
      <c r="C18" s="5" t="s">
        <v>111</v>
      </c>
      <c r="D18" s="5" t="s">
        <v>112</v>
      </c>
      <c r="E18" s="5" t="s">
        <v>20</v>
      </c>
      <c r="F18" s="5" t="s">
        <v>21</v>
      </c>
      <c r="G18" s="5" t="s">
        <v>22</v>
      </c>
      <c r="H18" s="5" t="s">
        <v>23</v>
      </c>
      <c r="I18" s="5" t="s">
        <v>1376</v>
      </c>
      <c r="J18" s="5" t="s">
        <v>1644</v>
      </c>
      <c r="K18" s="5"/>
      <c r="L18" s="46" t="s">
        <v>671</v>
      </c>
      <c r="M18" s="5"/>
      <c r="N18" s="5"/>
      <c r="O18" s="5"/>
      <c r="P18" s="5"/>
    </row>
    <row r="19" spans="1:16" x14ac:dyDescent="0.25">
      <c r="A19" s="139" t="s">
        <v>113</v>
      </c>
      <c r="B19" s="140"/>
      <c r="C19" s="140"/>
      <c r="D19" s="140"/>
      <c r="E19" s="140"/>
      <c r="F19" s="140"/>
      <c r="G19" s="140"/>
      <c r="H19" s="140"/>
      <c r="I19" s="140"/>
      <c r="J19" s="140"/>
      <c r="K19" s="140"/>
      <c r="L19" s="140"/>
      <c r="M19" s="140"/>
      <c r="N19" s="140"/>
      <c r="O19" s="140"/>
      <c r="P19" s="140"/>
    </row>
    <row r="20" spans="1:16" ht="61.8" customHeight="1" x14ac:dyDescent="0.25">
      <c r="A20" s="4">
        <v>10</v>
      </c>
      <c r="B20" s="5" t="s">
        <v>17</v>
      </c>
      <c r="C20" s="5" t="s">
        <v>1364</v>
      </c>
      <c r="D20" s="5" t="s">
        <v>114</v>
      </c>
      <c r="E20" s="5" t="s">
        <v>20</v>
      </c>
      <c r="F20" s="5" t="s">
        <v>21</v>
      </c>
      <c r="G20" s="5" t="s">
        <v>22</v>
      </c>
      <c r="H20" s="5" t="s">
        <v>23</v>
      </c>
      <c r="I20" s="5" t="s">
        <v>1365</v>
      </c>
      <c r="J20" s="5" t="s">
        <v>1645</v>
      </c>
      <c r="K20" s="5" t="s">
        <v>1363</v>
      </c>
      <c r="L20" s="46" t="s">
        <v>672</v>
      </c>
      <c r="M20" s="5"/>
      <c r="N20" s="5"/>
      <c r="O20" s="5"/>
      <c r="P20" s="5"/>
    </row>
    <row r="21" spans="1:16" x14ac:dyDescent="0.25">
      <c r="A21" s="139" t="s">
        <v>58</v>
      </c>
      <c r="B21" s="140"/>
      <c r="C21" s="140"/>
      <c r="D21" s="140"/>
      <c r="E21" s="140"/>
      <c r="F21" s="140"/>
      <c r="G21" s="140"/>
      <c r="H21" s="140"/>
      <c r="I21" s="140"/>
      <c r="J21" s="140"/>
      <c r="K21" s="140"/>
      <c r="L21" s="140"/>
      <c r="M21" s="140"/>
      <c r="N21" s="140"/>
      <c r="O21" s="140"/>
      <c r="P21" s="140"/>
    </row>
    <row r="22" spans="1:16" ht="57.6" customHeight="1" x14ac:dyDescent="0.25">
      <c r="A22" s="4">
        <v>11</v>
      </c>
      <c r="B22" s="5" t="s">
        <v>17</v>
      </c>
      <c r="C22" s="5" t="s">
        <v>115</v>
      </c>
      <c r="D22" s="5" t="s">
        <v>60</v>
      </c>
      <c r="E22" s="5" t="s">
        <v>61</v>
      </c>
      <c r="F22" s="5" t="s">
        <v>21</v>
      </c>
      <c r="G22" s="5" t="s">
        <v>22</v>
      </c>
      <c r="H22" s="5" t="s">
        <v>23</v>
      </c>
      <c r="I22" s="5" t="s">
        <v>1366</v>
      </c>
      <c r="J22" s="5" t="s">
        <v>1658</v>
      </c>
      <c r="K22" s="5"/>
      <c r="L22" s="46" t="s">
        <v>671</v>
      </c>
      <c r="M22" s="5"/>
      <c r="N22" s="5"/>
      <c r="O22" s="5"/>
      <c r="P22" s="5"/>
    </row>
    <row r="23" spans="1:16" ht="72" x14ac:dyDescent="0.25">
      <c r="A23" s="4">
        <v>12</v>
      </c>
      <c r="B23" s="5" t="s">
        <v>17</v>
      </c>
      <c r="C23" s="5" t="s">
        <v>116</v>
      </c>
      <c r="D23" s="5" t="s">
        <v>117</v>
      </c>
      <c r="E23" s="5" t="s">
        <v>61</v>
      </c>
      <c r="F23" s="5" t="s">
        <v>21</v>
      </c>
      <c r="G23" s="5" t="s">
        <v>22</v>
      </c>
      <c r="H23" s="5" t="s">
        <v>23</v>
      </c>
      <c r="I23" s="5" t="s">
        <v>1375</v>
      </c>
      <c r="J23" s="5" t="s">
        <v>1664</v>
      </c>
      <c r="K23" s="5"/>
      <c r="L23" s="46" t="s">
        <v>671</v>
      </c>
      <c r="M23" s="5"/>
      <c r="N23" s="5"/>
      <c r="O23" s="5"/>
      <c r="P23" s="5"/>
    </row>
    <row r="24" spans="1:16" ht="60" x14ac:dyDescent="0.25">
      <c r="A24" s="4">
        <v>13</v>
      </c>
      <c r="B24" s="5" t="s">
        <v>17</v>
      </c>
      <c r="C24" s="5" t="s">
        <v>118</v>
      </c>
      <c r="D24" s="5" t="s">
        <v>65</v>
      </c>
      <c r="E24" s="5" t="s">
        <v>61</v>
      </c>
      <c r="F24" s="5" t="s">
        <v>21</v>
      </c>
      <c r="G24" s="5" t="s">
        <v>22</v>
      </c>
      <c r="H24" s="5" t="s">
        <v>23</v>
      </c>
      <c r="I24" s="5" t="s">
        <v>1349</v>
      </c>
      <c r="J24" s="5" t="s">
        <v>1508</v>
      </c>
      <c r="K24" s="5"/>
      <c r="L24" s="46" t="s">
        <v>671</v>
      </c>
      <c r="M24" s="5"/>
      <c r="N24" s="5"/>
      <c r="O24" s="5"/>
      <c r="P24" s="5"/>
    </row>
    <row r="25" spans="1:16" x14ac:dyDescent="0.25">
      <c r="A25" s="139" t="s">
        <v>1372</v>
      </c>
      <c r="B25" s="140"/>
      <c r="C25" s="140"/>
      <c r="D25" s="140"/>
      <c r="E25" s="140"/>
      <c r="F25" s="140"/>
      <c r="G25" s="140"/>
      <c r="H25" s="140"/>
      <c r="I25" s="140"/>
      <c r="J25" s="140"/>
      <c r="K25" s="140"/>
      <c r="L25" s="140"/>
      <c r="M25" s="140"/>
      <c r="N25" s="140"/>
      <c r="O25" s="140"/>
      <c r="P25" s="140"/>
    </row>
    <row r="26" spans="1:16" ht="66" x14ac:dyDescent="0.25">
      <c r="A26" s="4">
        <v>14</v>
      </c>
      <c r="B26" s="5" t="s">
        <v>17</v>
      </c>
      <c r="C26" s="5" t="s">
        <v>119</v>
      </c>
      <c r="D26" s="10" t="s">
        <v>1370</v>
      </c>
      <c r="E26" s="5" t="s">
        <v>55</v>
      </c>
      <c r="F26" s="5" t="s">
        <v>21</v>
      </c>
      <c r="G26" s="5" t="s">
        <v>22</v>
      </c>
      <c r="H26" s="5" t="s">
        <v>23</v>
      </c>
      <c r="I26" s="57" t="s">
        <v>1367</v>
      </c>
      <c r="J26" s="71" t="s">
        <v>1368</v>
      </c>
      <c r="K26" s="5"/>
      <c r="L26" s="46" t="s">
        <v>671</v>
      </c>
      <c r="M26" s="5"/>
      <c r="N26" s="5"/>
      <c r="O26" s="5"/>
      <c r="P26" s="5"/>
    </row>
    <row r="27" spans="1:16" ht="66" x14ac:dyDescent="0.25">
      <c r="A27" s="4">
        <v>15</v>
      </c>
      <c r="B27" s="5" t="s">
        <v>17</v>
      </c>
      <c r="C27" s="5" t="s">
        <v>121</v>
      </c>
      <c r="D27" s="10" t="s">
        <v>1371</v>
      </c>
      <c r="E27" s="5" t="s">
        <v>55</v>
      </c>
      <c r="F27" s="5" t="s">
        <v>21</v>
      </c>
      <c r="G27" s="5" t="s">
        <v>22</v>
      </c>
      <c r="H27" s="5" t="s">
        <v>23</v>
      </c>
      <c r="I27" s="57" t="s">
        <v>1369</v>
      </c>
      <c r="J27" s="71" t="s">
        <v>1368</v>
      </c>
      <c r="K27" s="5"/>
      <c r="L27" s="46" t="s">
        <v>671</v>
      </c>
      <c r="M27" s="5"/>
      <c r="N27" s="5"/>
      <c r="O27" s="5"/>
      <c r="P27" s="5"/>
    </row>
    <row r="28" spans="1:16" x14ac:dyDescent="0.25">
      <c r="A28" s="139" t="s">
        <v>123</v>
      </c>
      <c r="B28" s="140"/>
      <c r="C28" s="140"/>
      <c r="D28" s="140"/>
      <c r="E28" s="140"/>
      <c r="F28" s="140"/>
      <c r="G28" s="140"/>
      <c r="H28" s="140"/>
      <c r="I28" s="140"/>
      <c r="J28" s="140"/>
      <c r="K28" s="140"/>
      <c r="L28" s="140"/>
      <c r="M28" s="140"/>
      <c r="N28" s="140"/>
      <c r="O28" s="140"/>
      <c r="P28" s="140"/>
    </row>
    <row r="29" spans="1:16" ht="60" x14ac:dyDescent="0.25">
      <c r="A29" s="4">
        <v>16</v>
      </c>
      <c r="B29" s="5" t="s">
        <v>17</v>
      </c>
      <c r="C29" s="5" t="s">
        <v>124</v>
      </c>
      <c r="D29" s="5" t="s">
        <v>82</v>
      </c>
      <c r="E29" s="5" t="s">
        <v>20</v>
      </c>
      <c r="F29" s="5" t="s">
        <v>21</v>
      </c>
      <c r="G29" s="5" t="s">
        <v>22</v>
      </c>
      <c r="H29" s="5" t="s">
        <v>23</v>
      </c>
      <c r="I29" s="57" t="s">
        <v>1373</v>
      </c>
      <c r="J29" s="5" t="s">
        <v>1659</v>
      </c>
      <c r="K29" s="5"/>
      <c r="L29" s="46" t="s">
        <v>671</v>
      </c>
      <c r="M29" s="5"/>
      <c r="N29" s="5"/>
      <c r="O29" s="5"/>
      <c r="P29" s="5"/>
    </row>
    <row r="30" spans="1:16" ht="60" x14ac:dyDescent="0.25">
      <c r="A30" s="4">
        <v>17</v>
      </c>
      <c r="B30" s="5" t="s">
        <v>17</v>
      </c>
      <c r="C30" s="5" t="s">
        <v>125</v>
      </c>
      <c r="D30" s="5" t="s">
        <v>126</v>
      </c>
      <c r="E30" s="5" t="s">
        <v>20</v>
      </c>
      <c r="F30" s="5" t="s">
        <v>21</v>
      </c>
      <c r="G30" s="5" t="s">
        <v>22</v>
      </c>
      <c r="H30" s="5" t="s">
        <v>23</v>
      </c>
      <c r="I30" s="5" t="s">
        <v>1374</v>
      </c>
      <c r="J30" s="5" t="s">
        <v>1657</v>
      </c>
      <c r="K30" s="5"/>
      <c r="L30" s="46" t="s">
        <v>671</v>
      </c>
      <c r="M30" s="5"/>
      <c r="N30" s="5"/>
      <c r="O30" s="5"/>
      <c r="P30" s="5"/>
    </row>
    <row r="31" spans="1:16" ht="60" x14ac:dyDescent="0.25">
      <c r="A31" s="4">
        <v>18</v>
      </c>
      <c r="B31" s="5" t="s">
        <v>17</v>
      </c>
      <c r="C31" s="5" t="s">
        <v>127</v>
      </c>
      <c r="D31" s="5" t="s">
        <v>1377</v>
      </c>
      <c r="E31" s="5" t="s">
        <v>20</v>
      </c>
      <c r="F31" s="5" t="s">
        <v>21</v>
      </c>
      <c r="G31" s="5" t="s">
        <v>22</v>
      </c>
      <c r="H31" s="5" t="s">
        <v>23</v>
      </c>
      <c r="I31" s="5" t="s">
        <v>1380</v>
      </c>
      <c r="J31" s="5" t="s">
        <v>1660</v>
      </c>
      <c r="K31" s="5"/>
      <c r="L31" s="46" t="s">
        <v>671</v>
      </c>
      <c r="M31" s="5"/>
      <c r="N31" s="5"/>
      <c r="O31" s="5"/>
      <c r="P31" s="5"/>
    </row>
    <row r="32" spans="1:16" ht="72" x14ac:dyDescent="0.25">
      <c r="A32" s="4">
        <v>19</v>
      </c>
      <c r="B32" s="5" t="s">
        <v>17</v>
      </c>
      <c r="C32" s="5" t="s">
        <v>128</v>
      </c>
      <c r="D32" s="5" t="s">
        <v>1378</v>
      </c>
      <c r="E32" s="5" t="s">
        <v>20</v>
      </c>
      <c r="F32" s="5" t="s">
        <v>21</v>
      </c>
      <c r="G32" s="5" t="s">
        <v>22</v>
      </c>
      <c r="H32" s="5" t="s">
        <v>23</v>
      </c>
      <c r="I32" s="5" t="s">
        <v>1382</v>
      </c>
      <c r="J32" s="5" t="s">
        <v>1646</v>
      </c>
      <c r="K32" s="5"/>
      <c r="L32" s="46" t="s">
        <v>671</v>
      </c>
      <c r="M32" s="5"/>
      <c r="N32" s="5"/>
      <c r="O32" s="5"/>
      <c r="P32" s="5"/>
    </row>
    <row r="33" spans="1:16" x14ac:dyDescent="0.25">
      <c r="A33" s="139" t="s">
        <v>129</v>
      </c>
      <c r="B33" s="140"/>
      <c r="C33" s="140"/>
      <c r="D33" s="140"/>
      <c r="E33" s="140"/>
      <c r="F33" s="140"/>
      <c r="G33" s="140"/>
      <c r="H33" s="140"/>
      <c r="I33" s="140"/>
      <c r="J33" s="140"/>
      <c r="K33" s="140"/>
      <c r="L33" s="140"/>
      <c r="M33" s="140"/>
      <c r="N33" s="140"/>
      <c r="O33" s="140"/>
      <c r="P33" s="140"/>
    </row>
    <row r="34" spans="1:16" ht="60" x14ac:dyDescent="0.25">
      <c r="A34" s="4">
        <v>20</v>
      </c>
      <c r="B34" s="5" t="s">
        <v>17</v>
      </c>
      <c r="C34" s="5" t="s">
        <v>130</v>
      </c>
      <c r="D34" s="5" t="s">
        <v>131</v>
      </c>
      <c r="E34" s="5" t="s">
        <v>20</v>
      </c>
      <c r="F34" s="5" t="s">
        <v>21</v>
      </c>
      <c r="G34" s="5" t="s">
        <v>22</v>
      </c>
      <c r="H34" s="5" t="s">
        <v>23</v>
      </c>
      <c r="I34" s="5" t="s">
        <v>1381</v>
      </c>
      <c r="J34" s="5" t="s">
        <v>1647</v>
      </c>
      <c r="K34" s="5"/>
      <c r="L34" s="46" t="s">
        <v>671</v>
      </c>
      <c r="M34" s="5"/>
      <c r="N34" s="5"/>
      <c r="O34" s="5"/>
      <c r="P34" s="5"/>
    </row>
    <row r="35" spans="1:16" ht="60" x14ac:dyDescent="0.25">
      <c r="A35" s="4">
        <v>21</v>
      </c>
      <c r="B35" s="5" t="s">
        <v>17</v>
      </c>
      <c r="C35" s="5" t="s">
        <v>132</v>
      </c>
      <c r="D35" s="5" t="s">
        <v>133</v>
      </c>
      <c r="E35" s="5" t="s">
        <v>20</v>
      </c>
      <c r="F35" s="5" t="s">
        <v>21</v>
      </c>
      <c r="G35" s="5" t="s">
        <v>22</v>
      </c>
      <c r="H35" s="5" t="s">
        <v>23</v>
      </c>
      <c r="I35" s="5" t="s">
        <v>1354</v>
      </c>
      <c r="J35" s="5" t="s">
        <v>1647</v>
      </c>
      <c r="K35" s="5"/>
      <c r="L35" s="46" t="s">
        <v>671</v>
      </c>
      <c r="M35" s="5"/>
      <c r="N35" s="5"/>
      <c r="O35" s="5"/>
      <c r="P35" s="5"/>
    </row>
    <row r="36" spans="1:16" x14ac:dyDescent="0.25">
      <c r="A36" s="139" t="s">
        <v>134</v>
      </c>
      <c r="B36" s="140"/>
      <c r="C36" s="140"/>
      <c r="D36" s="140"/>
      <c r="E36" s="140"/>
      <c r="F36" s="140"/>
      <c r="G36" s="140"/>
      <c r="H36" s="140"/>
      <c r="I36" s="140"/>
      <c r="J36" s="140"/>
      <c r="K36" s="140"/>
      <c r="L36" s="140"/>
      <c r="M36" s="140"/>
      <c r="N36" s="140"/>
      <c r="O36" s="140"/>
      <c r="P36" s="140"/>
    </row>
    <row r="37" spans="1:16" ht="60" x14ac:dyDescent="0.25">
      <c r="A37" s="4">
        <v>22</v>
      </c>
      <c r="B37" s="5" t="s">
        <v>17</v>
      </c>
      <c r="C37" s="5" t="s">
        <v>135</v>
      </c>
      <c r="D37" s="5" t="s">
        <v>136</v>
      </c>
      <c r="E37" s="5" t="s">
        <v>20</v>
      </c>
      <c r="F37" s="5" t="s">
        <v>21</v>
      </c>
      <c r="G37" s="5" t="s">
        <v>22</v>
      </c>
      <c r="H37" s="5" t="s">
        <v>23</v>
      </c>
      <c r="I37" s="5" t="s">
        <v>1350</v>
      </c>
      <c r="J37" s="5" t="s">
        <v>1531</v>
      </c>
      <c r="K37" s="5"/>
      <c r="L37" s="46" t="s">
        <v>671</v>
      </c>
      <c r="M37" s="5"/>
      <c r="N37" s="5"/>
      <c r="O37" s="5"/>
      <c r="P37" s="5"/>
    </row>
    <row r="38" spans="1:16" ht="60" x14ac:dyDescent="0.25">
      <c r="A38" s="4">
        <v>23</v>
      </c>
      <c r="B38" s="5" t="s">
        <v>17</v>
      </c>
      <c r="C38" s="5" t="s">
        <v>137</v>
      </c>
      <c r="D38" s="5" t="s">
        <v>138</v>
      </c>
      <c r="E38" s="5" t="s">
        <v>20</v>
      </c>
      <c r="F38" s="5" t="s">
        <v>21</v>
      </c>
      <c r="G38" s="5" t="s">
        <v>22</v>
      </c>
      <c r="H38" s="5" t="s">
        <v>23</v>
      </c>
      <c r="I38" s="5" t="s">
        <v>1351</v>
      </c>
      <c r="J38" s="5" t="s">
        <v>1531</v>
      </c>
      <c r="K38" s="5"/>
      <c r="L38" s="46" t="s">
        <v>671</v>
      </c>
      <c r="M38" s="5"/>
      <c r="N38" s="5"/>
      <c r="O38" s="5"/>
      <c r="P38" s="5"/>
    </row>
    <row r="39" spans="1:16" ht="60" x14ac:dyDescent="0.25">
      <c r="A39" s="4">
        <v>24</v>
      </c>
      <c r="B39" s="5" t="s">
        <v>17</v>
      </c>
      <c r="C39" s="5" t="s">
        <v>139</v>
      </c>
      <c r="D39" s="5" t="s">
        <v>140</v>
      </c>
      <c r="E39" s="5" t="s">
        <v>20</v>
      </c>
      <c r="F39" s="5" t="s">
        <v>21</v>
      </c>
      <c r="G39" s="5" t="s">
        <v>22</v>
      </c>
      <c r="H39" s="5" t="s">
        <v>23</v>
      </c>
      <c r="I39" s="5" t="s">
        <v>1352</v>
      </c>
      <c r="J39" s="5" t="s">
        <v>1531</v>
      </c>
      <c r="K39" s="5"/>
      <c r="L39" s="46" t="s">
        <v>671</v>
      </c>
      <c r="M39" s="5"/>
      <c r="N39" s="5"/>
      <c r="O39" s="5"/>
      <c r="P39" s="5"/>
    </row>
    <row r="40" spans="1:16" x14ac:dyDescent="0.25">
      <c r="A40" s="139" t="s">
        <v>829</v>
      </c>
      <c r="B40" s="140"/>
      <c r="C40" s="140"/>
      <c r="D40" s="140"/>
      <c r="E40" s="140"/>
      <c r="F40" s="140"/>
      <c r="G40" s="140"/>
      <c r="H40" s="140"/>
      <c r="I40" s="140"/>
      <c r="J40" s="140"/>
      <c r="K40" s="140"/>
      <c r="L40" s="140"/>
      <c r="M40" s="140"/>
      <c r="N40" s="140"/>
      <c r="O40" s="140"/>
      <c r="P40" s="140"/>
    </row>
    <row r="41" spans="1:16" x14ac:dyDescent="0.25">
      <c r="A41" s="139" t="s">
        <v>89</v>
      </c>
      <c r="B41" s="140"/>
      <c r="C41" s="140"/>
      <c r="D41" s="140"/>
      <c r="E41" s="140"/>
      <c r="F41" s="140"/>
      <c r="G41" s="140"/>
      <c r="H41" s="140"/>
      <c r="I41" s="140"/>
      <c r="J41" s="140"/>
      <c r="K41" s="140"/>
      <c r="L41" s="140"/>
      <c r="M41" s="140"/>
      <c r="N41" s="140"/>
      <c r="O41" s="140"/>
      <c r="P41" s="140"/>
    </row>
    <row r="42" spans="1:16" s="7" customFormat="1" ht="47.4" customHeight="1" x14ac:dyDescent="0.25">
      <c r="A42" s="4">
        <v>1</v>
      </c>
      <c r="B42" s="5" t="s">
        <v>17</v>
      </c>
      <c r="C42" s="5" t="s">
        <v>1383</v>
      </c>
      <c r="D42" s="5" t="s">
        <v>94</v>
      </c>
      <c r="E42" s="5" t="s">
        <v>20</v>
      </c>
      <c r="F42" s="5" t="s">
        <v>21</v>
      </c>
      <c r="G42" s="5" t="s">
        <v>22</v>
      </c>
      <c r="H42" s="5" t="s">
        <v>23</v>
      </c>
      <c r="I42" s="5" t="s">
        <v>1359</v>
      </c>
      <c r="J42" s="5" t="s">
        <v>1656</v>
      </c>
      <c r="K42" s="5" t="s">
        <v>1348</v>
      </c>
      <c r="L42" s="46" t="s">
        <v>672</v>
      </c>
      <c r="M42" s="5"/>
      <c r="N42" s="5"/>
      <c r="O42" s="5"/>
      <c r="P42" s="5"/>
    </row>
    <row r="43" spans="1:16" s="7" customFormat="1" ht="72" x14ac:dyDescent="0.25">
      <c r="A43" s="4">
        <v>2</v>
      </c>
      <c r="B43" s="5" t="s">
        <v>17</v>
      </c>
      <c r="C43" s="5" t="s">
        <v>141</v>
      </c>
      <c r="D43" s="5" t="s">
        <v>96</v>
      </c>
      <c r="E43" s="5" t="s">
        <v>20</v>
      </c>
      <c r="F43" s="5" t="s">
        <v>21</v>
      </c>
      <c r="G43" s="5" t="s">
        <v>22</v>
      </c>
      <c r="H43" s="5" t="s">
        <v>23</v>
      </c>
      <c r="I43" s="5" t="s">
        <v>1355</v>
      </c>
      <c r="J43" s="5" t="s">
        <v>1662</v>
      </c>
      <c r="K43" s="5"/>
      <c r="L43" s="46" t="s">
        <v>671</v>
      </c>
      <c r="M43" s="5"/>
      <c r="N43" s="5"/>
      <c r="O43" s="5"/>
      <c r="P43" s="5"/>
    </row>
    <row r="44" spans="1:16" s="7" customFormat="1" ht="43.2" customHeight="1" x14ac:dyDescent="0.25">
      <c r="A44" s="4">
        <v>3</v>
      </c>
      <c r="B44" s="5" t="s">
        <v>17</v>
      </c>
      <c r="C44" s="5" t="s">
        <v>142</v>
      </c>
      <c r="D44" s="5" t="s">
        <v>98</v>
      </c>
      <c r="E44" s="5" t="s">
        <v>20</v>
      </c>
      <c r="F44" s="5" t="s">
        <v>21</v>
      </c>
      <c r="G44" s="5" t="s">
        <v>22</v>
      </c>
      <c r="H44" s="5" t="s">
        <v>23</v>
      </c>
      <c r="I44" s="5" t="s">
        <v>1356</v>
      </c>
      <c r="J44" s="5" t="s">
        <v>1640</v>
      </c>
      <c r="K44" s="5"/>
      <c r="L44" s="46" t="s">
        <v>671</v>
      </c>
      <c r="M44" s="5"/>
      <c r="N44" s="5"/>
      <c r="O44" s="5"/>
      <c r="P44" s="5"/>
    </row>
    <row r="45" spans="1:16" s="7" customFormat="1" x14ac:dyDescent="0.25">
      <c r="A45" s="139" t="s">
        <v>43</v>
      </c>
      <c r="B45" s="140"/>
      <c r="C45" s="140"/>
      <c r="D45" s="140"/>
      <c r="E45" s="140"/>
      <c r="F45" s="140"/>
      <c r="G45" s="140"/>
      <c r="H45" s="140"/>
      <c r="I45" s="140"/>
      <c r="J45" s="140"/>
      <c r="K45" s="140"/>
      <c r="L45" s="140"/>
      <c r="M45" s="140"/>
      <c r="N45" s="140"/>
      <c r="O45" s="140"/>
      <c r="P45" s="140"/>
    </row>
    <row r="46" spans="1:16" s="7" customFormat="1" ht="47.4" customHeight="1" x14ac:dyDescent="0.25">
      <c r="A46" s="4">
        <v>4</v>
      </c>
      <c r="B46" s="5" t="s">
        <v>17</v>
      </c>
      <c r="C46" s="5" t="s">
        <v>1384</v>
      </c>
      <c r="D46" s="5" t="s">
        <v>100</v>
      </c>
      <c r="E46" s="5" t="s">
        <v>20</v>
      </c>
      <c r="F46" s="5" t="s">
        <v>21</v>
      </c>
      <c r="G46" s="5" t="s">
        <v>22</v>
      </c>
      <c r="H46" s="5" t="s">
        <v>23</v>
      </c>
      <c r="I46" s="5" t="s">
        <v>1357</v>
      </c>
      <c r="J46" s="5" t="s">
        <v>1657</v>
      </c>
      <c r="K46" s="5" t="s">
        <v>1361</v>
      </c>
      <c r="L46" s="46" t="s">
        <v>672</v>
      </c>
      <c r="M46" s="5"/>
      <c r="N46" s="5"/>
      <c r="O46" s="5"/>
      <c r="P46" s="5"/>
    </row>
    <row r="47" spans="1:16" s="7" customFormat="1" ht="84" customHeight="1" x14ac:dyDescent="0.25">
      <c r="A47" s="4">
        <v>5</v>
      </c>
      <c r="B47" s="5" t="s">
        <v>17</v>
      </c>
      <c r="C47" s="5" t="s">
        <v>143</v>
      </c>
      <c r="D47" s="5" t="s">
        <v>102</v>
      </c>
      <c r="E47" s="5" t="s">
        <v>20</v>
      </c>
      <c r="F47" s="5" t="s">
        <v>21</v>
      </c>
      <c r="G47" s="5" t="s">
        <v>22</v>
      </c>
      <c r="H47" s="5" t="s">
        <v>23</v>
      </c>
      <c r="I47" s="5" t="s">
        <v>1358</v>
      </c>
      <c r="J47" s="5" t="s">
        <v>1663</v>
      </c>
      <c r="K47" s="5" t="s">
        <v>1361</v>
      </c>
      <c r="L47" s="46" t="s">
        <v>672</v>
      </c>
      <c r="M47" s="5"/>
      <c r="N47" s="5"/>
      <c r="O47" s="5"/>
      <c r="P47" s="5"/>
    </row>
    <row r="48" spans="1:16" s="7" customFormat="1" ht="132" x14ac:dyDescent="0.25">
      <c r="A48" s="4">
        <v>6</v>
      </c>
      <c r="B48" s="5" t="s">
        <v>17</v>
      </c>
      <c r="C48" s="5" t="s">
        <v>144</v>
      </c>
      <c r="D48" s="5" t="s">
        <v>104</v>
      </c>
      <c r="E48" s="5" t="s">
        <v>20</v>
      </c>
      <c r="F48" s="5" t="s">
        <v>21</v>
      </c>
      <c r="G48" s="5" t="s">
        <v>22</v>
      </c>
      <c r="H48" s="5" t="s">
        <v>23</v>
      </c>
      <c r="I48" s="5" t="s">
        <v>1360</v>
      </c>
      <c r="J48" s="5" t="s">
        <v>1641</v>
      </c>
      <c r="K48" s="5" t="s">
        <v>1361</v>
      </c>
      <c r="L48" s="46" t="s">
        <v>672</v>
      </c>
      <c r="M48" s="5"/>
      <c r="N48" s="5"/>
      <c r="O48" s="5"/>
      <c r="P48" s="5"/>
    </row>
    <row r="49" spans="1:16" s="7" customFormat="1" x14ac:dyDescent="0.25">
      <c r="A49" s="139" t="s">
        <v>49</v>
      </c>
      <c r="B49" s="140"/>
      <c r="C49" s="140"/>
      <c r="D49" s="140"/>
      <c r="E49" s="140"/>
      <c r="F49" s="140"/>
      <c r="G49" s="140"/>
      <c r="H49" s="140"/>
      <c r="I49" s="140"/>
      <c r="J49" s="140"/>
      <c r="K49" s="140"/>
      <c r="L49" s="140"/>
      <c r="M49" s="140"/>
      <c r="N49" s="140"/>
      <c r="O49" s="140"/>
      <c r="P49" s="140"/>
    </row>
    <row r="50" spans="1:16" s="7" customFormat="1" ht="60" x14ac:dyDescent="0.25">
      <c r="A50" s="4">
        <v>7</v>
      </c>
      <c r="B50" s="5" t="s">
        <v>17</v>
      </c>
      <c r="C50" s="5" t="s">
        <v>1385</v>
      </c>
      <c r="D50" s="5" t="s">
        <v>106</v>
      </c>
      <c r="E50" s="5" t="s">
        <v>20</v>
      </c>
      <c r="F50" s="5" t="s">
        <v>21</v>
      </c>
      <c r="G50" s="5" t="s">
        <v>22</v>
      </c>
      <c r="H50" s="5" t="s">
        <v>23</v>
      </c>
      <c r="I50" s="5" t="s">
        <v>1353</v>
      </c>
      <c r="J50" s="5" t="s">
        <v>1642</v>
      </c>
      <c r="K50" s="5"/>
      <c r="L50" s="46" t="s">
        <v>671</v>
      </c>
      <c r="M50" s="5"/>
      <c r="N50" s="5"/>
      <c r="O50" s="5"/>
      <c r="P50" s="5"/>
    </row>
    <row r="51" spans="1:16" s="7" customFormat="1" x14ac:dyDescent="0.25">
      <c r="A51" s="139" t="s">
        <v>107</v>
      </c>
      <c r="B51" s="140"/>
      <c r="C51" s="140"/>
      <c r="D51" s="140"/>
      <c r="E51" s="140"/>
      <c r="F51" s="140"/>
      <c r="G51" s="140"/>
      <c r="H51" s="140"/>
      <c r="I51" s="140"/>
      <c r="J51" s="140"/>
      <c r="K51" s="140"/>
      <c r="L51" s="140"/>
      <c r="M51" s="140"/>
      <c r="N51" s="140"/>
      <c r="O51" s="140"/>
      <c r="P51" s="140"/>
    </row>
    <row r="52" spans="1:16" s="7" customFormat="1" ht="60" x14ac:dyDescent="0.25">
      <c r="A52" s="4">
        <v>8</v>
      </c>
      <c r="B52" s="5" t="s">
        <v>17</v>
      </c>
      <c r="C52" s="5" t="s">
        <v>1386</v>
      </c>
      <c r="D52" s="5" t="s">
        <v>109</v>
      </c>
      <c r="E52" s="5" t="s">
        <v>20</v>
      </c>
      <c r="F52" s="5" t="s">
        <v>21</v>
      </c>
      <c r="G52" s="5" t="s">
        <v>22</v>
      </c>
      <c r="H52" s="5" t="s">
        <v>23</v>
      </c>
      <c r="I52" s="5" t="s">
        <v>1362</v>
      </c>
      <c r="J52" s="5" t="s">
        <v>1643</v>
      </c>
      <c r="K52" s="5"/>
      <c r="L52" s="46" t="s">
        <v>671</v>
      </c>
      <c r="M52" s="5"/>
      <c r="N52" s="5"/>
      <c r="O52" s="5"/>
      <c r="P52" s="5"/>
    </row>
    <row r="53" spans="1:16" s="7" customFormat="1" x14ac:dyDescent="0.25">
      <c r="A53" s="139" t="s">
        <v>110</v>
      </c>
      <c r="B53" s="140"/>
      <c r="C53" s="140"/>
      <c r="D53" s="140"/>
      <c r="E53" s="140"/>
      <c r="F53" s="140"/>
      <c r="G53" s="140"/>
      <c r="H53" s="140"/>
      <c r="I53" s="140"/>
      <c r="J53" s="140"/>
      <c r="K53" s="140"/>
      <c r="L53" s="140"/>
      <c r="M53" s="140"/>
      <c r="N53" s="140"/>
      <c r="O53" s="140"/>
      <c r="P53" s="140"/>
    </row>
    <row r="54" spans="1:16" s="7" customFormat="1" ht="72" x14ac:dyDescent="0.25">
      <c r="A54" s="4">
        <v>9</v>
      </c>
      <c r="B54" s="5" t="s">
        <v>17</v>
      </c>
      <c r="C54" s="5" t="s">
        <v>1387</v>
      </c>
      <c r="D54" s="5" t="s">
        <v>112</v>
      </c>
      <c r="E54" s="5" t="s">
        <v>20</v>
      </c>
      <c r="F54" s="5" t="s">
        <v>21</v>
      </c>
      <c r="G54" s="5" t="s">
        <v>22</v>
      </c>
      <c r="H54" s="5" t="s">
        <v>23</v>
      </c>
      <c r="I54" s="5" t="s">
        <v>1376</v>
      </c>
      <c r="J54" s="5" t="s">
        <v>1644</v>
      </c>
      <c r="K54" s="5"/>
      <c r="L54" s="46" t="s">
        <v>671</v>
      </c>
      <c r="M54" s="5"/>
      <c r="N54" s="5"/>
      <c r="O54" s="5"/>
      <c r="P54" s="5"/>
    </row>
    <row r="55" spans="1:16" s="7" customFormat="1" x14ac:dyDescent="0.25">
      <c r="A55" s="139" t="s">
        <v>113</v>
      </c>
      <c r="B55" s="140"/>
      <c r="C55" s="140"/>
      <c r="D55" s="140"/>
      <c r="E55" s="140"/>
      <c r="F55" s="140"/>
      <c r="G55" s="140"/>
      <c r="H55" s="140"/>
      <c r="I55" s="140"/>
      <c r="J55" s="140"/>
      <c r="K55" s="140"/>
      <c r="L55" s="140"/>
      <c r="M55" s="140"/>
      <c r="N55" s="140"/>
      <c r="O55" s="140"/>
      <c r="P55" s="140"/>
    </row>
    <row r="56" spans="1:16" s="7" customFormat="1" ht="61.8" customHeight="1" x14ac:dyDescent="0.25">
      <c r="A56" s="4">
        <v>10</v>
      </c>
      <c r="B56" s="5" t="s">
        <v>17</v>
      </c>
      <c r="C56" s="5" t="s">
        <v>1388</v>
      </c>
      <c r="D56" s="5" t="s">
        <v>114</v>
      </c>
      <c r="E56" s="5" t="s">
        <v>20</v>
      </c>
      <c r="F56" s="5" t="s">
        <v>21</v>
      </c>
      <c r="G56" s="5" t="s">
        <v>22</v>
      </c>
      <c r="H56" s="5" t="s">
        <v>23</v>
      </c>
      <c r="I56" s="5" t="s">
        <v>1365</v>
      </c>
      <c r="J56" s="5" t="s">
        <v>1645</v>
      </c>
      <c r="K56" s="5" t="s">
        <v>1363</v>
      </c>
      <c r="L56" s="46" t="s">
        <v>672</v>
      </c>
      <c r="M56" s="5"/>
      <c r="N56" s="5"/>
      <c r="O56" s="5"/>
      <c r="P56" s="5"/>
    </row>
    <row r="57" spans="1:16" s="7" customFormat="1" x14ac:dyDescent="0.25">
      <c r="A57" s="139" t="s">
        <v>58</v>
      </c>
      <c r="B57" s="140"/>
      <c r="C57" s="140"/>
      <c r="D57" s="140"/>
      <c r="E57" s="140"/>
      <c r="F57" s="140"/>
      <c r="G57" s="140"/>
      <c r="H57" s="140"/>
      <c r="I57" s="140"/>
      <c r="J57" s="140"/>
      <c r="K57" s="140"/>
      <c r="L57" s="140"/>
      <c r="M57" s="140"/>
      <c r="N57" s="140"/>
      <c r="O57" s="140"/>
      <c r="P57" s="140"/>
    </row>
    <row r="58" spans="1:16" s="7" customFormat="1" ht="57.6" customHeight="1" x14ac:dyDescent="0.25">
      <c r="A58" s="4">
        <v>11</v>
      </c>
      <c r="B58" s="5" t="s">
        <v>17</v>
      </c>
      <c r="C58" s="5" t="s">
        <v>1389</v>
      </c>
      <c r="D58" s="5" t="s">
        <v>60</v>
      </c>
      <c r="E58" s="5" t="s">
        <v>61</v>
      </c>
      <c r="F58" s="5" t="s">
        <v>21</v>
      </c>
      <c r="G58" s="5" t="s">
        <v>22</v>
      </c>
      <c r="H58" s="5" t="s">
        <v>23</v>
      </c>
      <c r="I58" s="5" t="s">
        <v>1366</v>
      </c>
      <c r="J58" s="5" t="s">
        <v>1658</v>
      </c>
      <c r="K58" s="5"/>
      <c r="L58" s="46" t="s">
        <v>671</v>
      </c>
      <c r="M58" s="5"/>
      <c r="N58" s="5"/>
      <c r="O58" s="5"/>
      <c r="P58" s="5"/>
    </row>
    <row r="59" spans="1:16" s="7" customFormat="1" ht="72" x14ac:dyDescent="0.25">
      <c r="A59" s="4">
        <v>12</v>
      </c>
      <c r="B59" s="5" t="s">
        <v>17</v>
      </c>
      <c r="C59" s="5" t="s">
        <v>145</v>
      </c>
      <c r="D59" s="5" t="s">
        <v>117</v>
      </c>
      <c r="E59" s="5" t="s">
        <v>61</v>
      </c>
      <c r="F59" s="5" t="s">
        <v>21</v>
      </c>
      <c r="G59" s="5" t="s">
        <v>22</v>
      </c>
      <c r="H59" s="5" t="s">
        <v>23</v>
      </c>
      <c r="I59" s="5" t="s">
        <v>1375</v>
      </c>
      <c r="J59" s="5" t="s">
        <v>1664</v>
      </c>
      <c r="K59" s="5"/>
      <c r="L59" s="46" t="s">
        <v>671</v>
      </c>
      <c r="M59" s="5"/>
      <c r="N59" s="5"/>
      <c r="O59" s="5"/>
      <c r="P59" s="5"/>
    </row>
    <row r="60" spans="1:16" s="7" customFormat="1" ht="60" x14ac:dyDescent="0.25">
      <c r="A60" s="4">
        <v>13</v>
      </c>
      <c r="B60" s="5" t="s">
        <v>17</v>
      </c>
      <c r="C60" s="5" t="s">
        <v>146</v>
      </c>
      <c r="D60" s="5" t="s">
        <v>65</v>
      </c>
      <c r="E60" s="5" t="s">
        <v>61</v>
      </c>
      <c r="F60" s="5" t="s">
        <v>21</v>
      </c>
      <c r="G60" s="5" t="s">
        <v>22</v>
      </c>
      <c r="H60" s="5" t="s">
        <v>23</v>
      </c>
      <c r="I60" s="5" t="s">
        <v>1349</v>
      </c>
      <c r="J60" s="5" t="s">
        <v>1508</v>
      </c>
      <c r="K60" s="5"/>
      <c r="L60" s="46" t="s">
        <v>671</v>
      </c>
      <c r="M60" s="5"/>
      <c r="N60" s="5"/>
      <c r="O60" s="5"/>
      <c r="P60" s="5"/>
    </row>
    <row r="61" spans="1:16" s="7" customFormat="1" x14ac:dyDescent="0.25">
      <c r="A61" s="139" t="s">
        <v>1372</v>
      </c>
      <c r="B61" s="140"/>
      <c r="C61" s="140"/>
      <c r="D61" s="140"/>
      <c r="E61" s="140"/>
      <c r="F61" s="140"/>
      <c r="G61" s="140"/>
      <c r="H61" s="140"/>
      <c r="I61" s="140"/>
      <c r="J61" s="140"/>
      <c r="K61" s="140"/>
      <c r="L61" s="140"/>
      <c r="M61" s="140"/>
      <c r="N61" s="140"/>
      <c r="O61" s="140"/>
      <c r="P61" s="140"/>
    </row>
    <row r="62" spans="1:16" s="7" customFormat="1" ht="66" x14ac:dyDescent="0.25">
      <c r="A62" s="4">
        <v>14</v>
      </c>
      <c r="B62" s="5" t="s">
        <v>17</v>
      </c>
      <c r="C62" s="5" t="s">
        <v>1390</v>
      </c>
      <c r="D62" s="10" t="s">
        <v>1370</v>
      </c>
      <c r="E62" s="5" t="s">
        <v>55</v>
      </c>
      <c r="F62" s="5" t="s">
        <v>21</v>
      </c>
      <c r="G62" s="5" t="s">
        <v>22</v>
      </c>
      <c r="H62" s="5" t="s">
        <v>23</v>
      </c>
      <c r="I62" s="57" t="s">
        <v>1367</v>
      </c>
      <c r="J62" s="71" t="s">
        <v>1368</v>
      </c>
      <c r="K62" s="5"/>
      <c r="L62" s="46" t="s">
        <v>671</v>
      </c>
      <c r="M62" s="5"/>
      <c r="N62" s="5"/>
      <c r="O62" s="5"/>
      <c r="P62" s="5"/>
    </row>
    <row r="63" spans="1:16" s="7" customFormat="1" ht="66" x14ac:dyDescent="0.25">
      <c r="A63" s="4">
        <v>15</v>
      </c>
      <c r="B63" s="5" t="s">
        <v>17</v>
      </c>
      <c r="C63" s="5" t="s">
        <v>147</v>
      </c>
      <c r="D63" s="10" t="s">
        <v>1371</v>
      </c>
      <c r="E63" s="5" t="s">
        <v>55</v>
      </c>
      <c r="F63" s="5" t="s">
        <v>21</v>
      </c>
      <c r="G63" s="5" t="s">
        <v>22</v>
      </c>
      <c r="H63" s="5" t="s">
        <v>23</v>
      </c>
      <c r="I63" s="57" t="s">
        <v>1369</v>
      </c>
      <c r="J63" s="71" t="s">
        <v>1368</v>
      </c>
      <c r="K63" s="5"/>
      <c r="L63" s="46" t="s">
        <v>671</v>
      </c>
      <c r="M63" s="5"/>
      <c r="N63" s="5"/>
      <c r="O63" s="5"/>
      <c r="P63" s="5"/>
    </row>
    <row r="64" spans="1:16" s="7" customFormat="1" x14ac:dyDescent="0.25">
      <c r="A64" s="139" t="s">
        <v>123</v>
      </c>
      <c r="B64" s="140"/>
      <c r="C64" s="140"/>
      <c r="D64" s="140"/>
      <c r="E64" s="140"/>
      <c r="F64" s="140"/>
      <c r="G64" s="140"/>
      <c r="H64" s="140"/>
      <c r="I64" s="140"/>
      <c r="J64" s="140"/>
      <c r="K64" s="140"/>
      <c r="L64" s="140"/>
      <c r="M64" s="140"/>
      <c r="N64" s="140"/>
      <c r="O64" s="140"/>
      <c r="P64" s="140"/>
    </row>
    <row r="65" spans="1:16" s="7" customFormat="1" ht="60" x14ac:dyDescent="0.25">
      <c r="A65" s="4">
        <v>16</v>
      </c>
      <c r="B65" s="5" t="s">
        <v>17</v>
      </c>
      <c r="C65" s="5" t="s">
        <v>1391</v>
      </c>
      <c r="D65" s="5" t="s">
        <v>82</v>
      </c>
      <c r="E65" s="5" t="s">
        <v>20</v>
      </c>
      <c r="F65" s="5" t="s">
        <v>21</v>
      </c>
      <c r="G65" s="5" t="s">
        <v>22</v>
      </c>
      <c r="H65" s="5" t="s">
        <v>23</v>
      </c>
      <c r="I65" s="57" t="s">
        <v>1373</v>
      </c>
      <c r="J65" s="5" t="s">
        <v>1659</v>
      </c>
      <c r="K65" s="5"/>
      <c r="L65" s="46" t="s">
        <v>671</v>
      </c>
      <c r="M65" s="5"/>
      <c r="N65" s="5"/>
      <c r="O65" s="5"/>
      <c r="P65" s="5"/>
    </row>
    <row r="66" spans="1:16" s="7" customFormat="1" ht="60" x14ac:dyDescent="0.25">
      <c r="A66" s="4">
        <v>17</v>
      </c>
      <c r="B66" s="5" t="s">
        <v>17</v>
      </c>
      <c r="C66" s="5" t="s">
        <v>148</v>
      </c>
      <c r="D66" s="5" t="s">
        <v>126</v>
      </c>
      <c r="E66" s="5" t="s">
        <v>20</v>
      </c>
      <c r="F66" s="5" t="s">
        <v>21</v>
      </c>
      <c r="G66" s="5" t="s">
        <v>22</v>
      </c>
      <c r="H66" s="5" t="s">
        <v>23</v>
      </c>
      <c r="I66" s="5" t="s">
        <v>1374</v>
      </c>
      <c r="J66" s="5" t="s">
        <v>1657</v>
      </c>
      <c r="K66" s="5"/>
      <c r="L66" s="46" t="s">
        <v>671</v>
      </c>
      <c r="M66" s="5"/>
      <c r="N66" s="5"/>
      <c r="O66" s="5"/>
      <c r="P66" s="5"/>
    </row>
    <row r="67" spans="1:16" s="7" customFormat="1" ht="60" x14ac:dyDescent="0.25">
      <c r="A67" s="4">
        <v>18</v>
      </c>
      <c r="B67" s="5" t="s">
        <v>17</v>
      </c>
      <c r="C67" s="5" t="s">
        <v>149</v>
      </c>
      <c r="D67" s="5" t="s">
        <v>1377</v>
      </c>
      <c r="E67" s="5" t="s">
        <v>20</v>
      </c>
      <c r="F67" s="5" t="s">
        <v>21</v>
      </c>
      <c r="G67" s="5" t="s">
        <v>22</v>
      </c>
      <c r="H67" s="5" t="s">
        <v>23</v>
      </c>
      <c r="I67" s="5" t="s">
        <v>1380</v>
      </c>
      <c r="J67" s="5" t="s">
        <v>1660</v>
      </c>
      <c r="K67" s="5"/>
      <c r="L67" s="46" t="s">
        <v>671</v>
      </c>
      <c r="M67" s="5"/>
      <c r="N67" s="5"/>
      <c r="O67" s="5"/>
      <c r="P67" s="5"/>
    </row>
    <row r="68" spans="1:16" s="7" customFormat="1" ht="72" x14ac:dyDescent="0.25">
      <c r="A68" s="4">
        <v>19</v>
      </c>
      <c r="B68" s="5" t="s">
        <v>17</v>
      </c>
      <c r="C68" s="5" t="s">
        <v>150</v>
      </c>
      <c r="D68" s="5" t="s">
        <v>1378</v>
      </c>
      <c r="E68" s="5" t="s">
        <v>20</v>
      </c>
      <c r="F68" s="5" t="s">
        <v>21</v>
      </c>
      <c r="G68" s="5" t="s">
        <v>22</v>
      </c>
      <c r="H68" s="5" t="s">
        <v>23</v>
      </c>
      <c r="I68" s="5" t="s">
        <v>1382</v>
      </c>
      <c r="J68" s="5" t="s">
        <v>1646</v>
      </c>
      <c r="K68" s="5"/>
      <c r="L68" s="46" t="s">
        <v>671</v>
      </c>
      <c r="M68" s="5"/>
      <c r="N68" s="5"/>
      <c r="O68" s="5"/>
      <c r="P68" s="5"/>
    </row>
    <row r="69" spans="1:16" s="7" customFormat="1" x14ac:dyDescent="0.25">
      <c r="A69" s="139" t="s">
        <v>129</v>
      </c>
      <c r="B69" s="140"/>
      <c r="C69" s="140"/>
      <c r="D69" s="140"/>
      <c r="E69" s="140"/>
      <c r="F69" s="140"/>
      <c r="G69" s="140"/>
      <c r="H69" s="140"/>
      <c r="I69" s="140"/>
      <c r="J69" s="140"/>
      <c r="K69" s="140"/>
      <c r="L69" s="140"/>
      <c r="M69" s="140"/>
      <c r="N69" s="140"/>
      <c r="O69" s="140"/>
      <c r="P69" s="140"/>
    </row>
    <row r="70" spans="1:16" s="7" customFormat="1" ht="60" x14ac:dyDescent="0.25">
      <c r="A70" s="4">
        <v>20</v>
      </c>
      <c r="B70" s="5" t="s">
        <v>17</v>
      </c>
      <c r="C70" s="5" t="s">
        <v>1392</v>
      </c>
      <c r="D70" s="5" t="s">
        <v>131</v>
      </c>
      <c r="E70" s="5" t="s">
        <v>20</v>
      </c>
      <c r="F70" s="5" t="s">
        <v>21</v>
      </c>
      <c r="G70" s="5" t="s">
        <v>22</v>
      </c>
      <c r="H70" s="5" t="s">
        <v>23</v>
      </c>
      <c r="I70" s="5" t="s">
        <v>1381</v>
      </c>
      <c r="J70" s="5" t="s">
        <v>1647</v>
      </c>
      <c r="K70" s="5"/>
      <c r="L70" s="46" t="s">
        <v>671</v>
      </c>
      <c r="M70" s="5"/>
      <c r="N70" s="5"/>
      <c r="O70" s="5"/>
      <c r="P70" s="5"/>
    </row>
    <row r="71" spans="1:16" s="7" customFormat="1" ht="60" x14ac:dyDescent="0.25">
      <c r="A71" s="4">
        <v>21</v>
      </c>
      <c r="B71" s="5" t="s">
        <v>17</v>
      </c>
      <c r="C71" s="5" t="s">
        <v>151</v>
      </c>
      <c r="D71" s="5" t="s">
        <v>133</v>
      </c>
      <c r="E71" s="5" t="s">
        <v>20</v>
      </c>
      <c r="F71" s="5" t="s">
        <v>21</v>
      </c>
      <c r="G71" s="5" t="s">
        <v>22</v>
      </c>
      <c r="H71" s="5" t="s">
        <v>23</v>
      </c>
      <c r="I71" s="5" t="s">
        <v>1354</v>
      </c>
      <c r="J71" s="5" t="s">
        <v>1647</v>
      </c>
      <c r="K71" s="5"/>
      <c r="L71" s="46" t="s">
        <v>671</v>
      </c>
      <c r="M71" s="5"/>
      <c r="N71" s="5"/>
      <c r="O71" s="5"/>
      <c r="P71" s="5"/>
    </row>
    <row r="72" spans="1:16" s="7" customFormat="1" x14ac:dyDescent="0.25">
      <c r="A72" s="139" t="s">
        <v>134</v>
      </c>
      <c r="B72" s="140"/>
      <c r="C72" s="140"/>
      <c r="D72" s="140"/>
      <c r="E72" s="140"/>
      <c r="F72" s="140"/>
      <c r="G72" s="140"/>
      <c r="H72" s="140"/>
      <c r="I72" s="140"/>
      <c r="J72" s="140"/>
      <c r="K72" s="140"/>
      <c r="L72" s="140"/>
      <c r="M72" s="140"/>
      <c r="N72" s="140"/>
      <c r="O72" s="140"/>
      <c r="P72" s="140"/>
    </row>
    <row r="73" spans="1:16" s="7" customFormat="1" ht="60" x14ac:dyDescent="0.25">
      <c r="A73" s="4">
        <v>22</v>
      </c>
      <c r="B73" s="5" t="s">
        <v>17</v>
      </c>
      <c r="C73" s="5" t="s">
        <v>1393</v>
      </c>
      <c r="D73" s="5" t="s">
        <v>136</v>
      </c>
      <c r="E73" s="5" t="s">
        <v>20</v>
      </c>
      <c r="F73" s="5" t="s">
        <v>21</v>
      </c>
      <c r="G73" s="5" t="s">
        <v>22</v>
      </c>
      <c r="H73" s="5" t="s">
        <v>23</v>
      </c>
      <c r="I73" s="5" t="s">
        <v>1350</v>
      </c>
      <c r="J73" s="5" t="s">
        <v>1531</v>
      </c>
      <c r="K73" s="5"/>
      <c r="L73" s="46" t="s">
        <v>671</v>
      </c>
      <c r="M73" s="5"/>
      <c r="N73" s="5"/>
      <c r="O73" s="5"/>
      <c r="P73" s="5"/>
    </row>
    <row r="74" spans="1:16" s="7" customFormat="1" ht="60" x14ac:dyDescent="0.25">
      <c r="A74" s="4">
        <v>23</v>
      </c>
      <c r="B74" s="5" t="s">
        <v>17</v>
      </c>
      <c r="C74" s="5" t="s">
        <v>1394</v>
      </c>
      <c r="D74" s="5" t="s">
        <v>138</v>
      </c>
      <c r="E74" s="5" t="s">
        <v>20</v>
      </c>
      <c r="F74" s="5" t="s">
        <v>21</v>
      </c>
      <c r="G74" s="5" t="s">
        <v>22</v>
      </c>
      <c r="H74" s="5" t="s">
        <v>23</v>
      </c>
      <c r="I74" s="5" t="s">
        <v>1351</v>
      </c>
      <c r="J74" s="5" t="s">
        <v>1531</v>
      </c>
      <c r="K74" s="5"/>
      <c r="L74" s="46" t="s">
        <v>671</v>
      </c>
      <c r="M74" s="5"/>
      <c r="N74" s="5"/>
      <c r="O74" s="5"/>
      <c r="P74" s="5"/>
    </row>
    <row r="75" spans="1:16" s="7" customFormat="1" ht="60" x14ac:dyDescent="0.25">
      <c r="A75" s="4">
        <v>24</v>
      </c>
      <c r="B75" s="5" t="s">
        <v>17</v>
      </c>
      <c r="C75" s="5" t="s">
        <v>1395</v>
      </c>
      <c r="D75" s="5" t="s">
        <v>140</v>
      </c>
      <c r="E75" s="5" t="s">
        <v>20</v>
      </c>
      <c r="F75" s="5" t="s">
        <v>21</v>
      </c>
      <c r="G75" s="5" t="s">
        <v>22</v>
      </c>
      <c r="H75" s="5" t="s">
        <v>23</v>
      </c>
      <c r="I75" s="5" t="s">
        <v>1352</v>
      </c>
      <c r="J75" s="5" t="s">
        <v>1531</v>
      </c>
      <c r="K75" s="5"/>
      <c r="L75" s="46" t="s">
        <v>671</v>
      </c>
      <c r="M75" s="5"/>
      <c r="N75" s="5"/>
      <c r="O75" s="5"/>
      <c r="P75" s="5"/>
    </row>
  </sheetData>
  <mergeCells count="34">
    <mergeCell ref="A53:P53"/>
    <mergeCell ref="M2:M3"/>
    <mergeCell ref="A45:P45"/>
    <mergeCell ref="A61:P61"/>
    <mergeCell ref="A69:P69"/>
    <mergeCell ref="A25:P25"/>
    <mergeCell ref="J2:J3"/>
    <mergeCell ref="A41:P41"/>
    <mergeCell ref="L2:L3"/>
    <mergeCell ref="A55:P55"/>
    <mergeCell ref="A21:P21"/>
    <mergeCell ref="C2:F2"/>
    <mergeCell ref="G2:G3"/>
    <mergeCell ref="I2:I3"/>
    <mergeCell ref="A33:P33"/>
    <mergeCell ref="A5:P5"/>
    <mergeCell ref="A57:P57"/>
    <mergeCell ref="A17:P17"/>
    <mergeCell ref="B2:B3"/>
    <mergeCell ref="A4:P4"/>
    <mergeCell ref="A72:P72"/>
    <mergeCell ref="H2:H3"/>
    <mergeCell ref="A19:P19"/>
    <mergeCell ref="A28:P28"/>
    <mergeCell ref="A13:P13"/>
    <mergeCell ref="A40:P40"/>
    <mergeCell ref="A9:P9"/>
    <mergeCell ref="A2:A3"/>
    <mergeCell ref="A15:P15"/>
    <mergeCell ref="A64:P64"/>
    <mergeCell ref="K2:K3"/>
    <mergeCell ref="A49:P49"/>
    <mergeCell ref="A51:P51"/>
    <mergeCell ref="A36:P36"/>
  </mergeCells>
  <phoneticPr fontId="4" type="noConversion"/>
  <conditionalFormatting sqref="L6">
    <cfRule type="cellIs" dxfId="195" priority="35" operator="equal">
      <formula>"Fail"</formula>
    </cfRule>
  </conditionalFormatting>
  <conditionalFormatting sqref="L7:L8">
    <cfRule type="cellIs" dxfId="194" priority="34" operator="equal">
      <formula>"Fail"</formula>
    </cfRule>
  </conditionalFormatting>
  <conditionalFormatting sqref="L10">
    <cfRule type="cellIs" dxfId="193" priority="33" operator="equal">
      <formula>"Fail"</formula>
    </cfRule>
  </conditionalFormatting>
  <conditionalFormatting sqref="L11:L12">
    <cfRule type="cellIs" dxfId="192" priority="32" operator="equal">
      <formula>"Fail"</formula>
    </cfRule>
  </conditionalFormatting>
  <conditionalFormatting sqref="L14">
    <cfRule type="cellIs" dxfId="191" priority="31" operator="equal">
      <formula>"Fail"</formula>
    </cfRule>
  </conditionalFormatting>
  <conditionalFormatting sqref="L73:L75">
    <cfRule type="cellIs" dxfId="190" priority="1" operator="equal">
      <formula>"Fail"</formula>
    </cfRule>
  </conditionalFormatting>
  <conditionalFormatting sqref="L16">
    <cfRule type="cellIs" dxfId="189" priority="29" operator="equal">
      <formula>"Fail"</formula>
    </cfRule>
  </conditionalFormatting>
  <conditionalFormatting sqref="L18">
    <cfRule type="cellIs" dxfId="188" priority="28" operator="equal">
      <formula>"Fail"</formula>
    </cfRule>
  </conditionalFormatting>
  <conditionalFormatting sqref="L20">
    <cfRule type="cellIs" dxfId="187" priority="27" operator="equal">
      <formula>"Fail"</formula>
    </cfRule>
  </conditionalFormatting>
  <conditionalFormatting sqref="L22">
    <cfRule type="cellIs" dxfId="186" priority="26" operator="equal">
      <formula>"Fail"</formula>
    </cfRule>
  </conditionalFormatting>
  <conditionalFormatting sqref="L23">
    <cfRule type="cellIs" dxfId="185" priority="25" operator="equal">
      <formula>"Fail"</formula>
    </cfRule>
  </conditionalFormatting>
  <conditionalFormatting sqref="L24">
    <cfRule type="cellIs" dxfId="184" priority="24" operator="equal">
      <formula>"Fail"</formula>
    </cfRule>
  </conditionalFormatting>
  <conditionalFormatting sqref="L26:L27">
    <cfRule type="cellIs" dxfId="183" priority="23" operator="equal">
      <formula>"Fail"</formula>
    </cfRule>
  </conditionalFormatting>
  <conditionalFormatting sqref="L29:L31">
    <cfRule type="cellIs" dxfId="182" priority="22" operator="equal">
      <formula>"Fail"</formula>
    </cfRule>
  </conditionalFormatting>
  <conditionalFormatting sqref="L32">
    <cfRule type="cellIs" dxfId="181" priority="21" operator="equal">
      <formula>"Fail"</formula>
    </cfRule>
  </conditionalFormatting>
  <conditionalFormatting sqref="L34">
    <cfRule type="cellIs" dxfId="180" priority="20" operator="equal">
      <formula>"Fail"</formula>
    </cfRule>
  </conditionalFormatting>
  <conditionalFormatting sqref="L35">
    <cfRule type="cellIs" dxfId="179" priority="19" operator="equal">
      <formula>"Fail"</formula>
    </cfRule>
  </conditionalFormatting>
  <conditionalFormatting sqref="L37:L39">
    <cfRule type="cellIs" dxfId="178" priority="18" operator="equal">
      <formula>"Fail"</formula>
    </cfRule>
  </conditionalFormatting>
  <conditionalFormatting sqref="L42">
    <cfRule type="cellIs" dxfId="177" priority="17" operator="equal">
      <formula>"Fail"</formula>
    </cfRule>
  </conditionalFormatting>
  <conditionalFormatting sqref="L43:L44">
    <cfRule type="cellIs" dxfId="176" priority="16" operator="equal">
      <formula>"Fail"</formula>
    </cfRule>
  </conditionalFormatting>
  <conditionalFormatting sqref="L46">
    <cfRule type="cellIs" dxfId="175" priority="15" operator="equal">
      <formula>"Fail"</formula>
    </cfRule>
  </conditionalFormatting>
  <conditionalFormatting sqref="L47:L48">
    <cfRule type="cellIs" dxfId="174" priority="14" operator="equal">
      <formula>"Fail"</formula>
    </cfRule>
  </conditionalFormatting>
  <conditionalFormatting sqref="L50">
    <cfRule type="cellIs" dxfId="173" priority="13" operator="equal">
      <formula>"Fail"</formula>
    </cfRule>
  </conditionalFormatting>
  <conditionalFormatting sqref="L52">
    <cfRule type="cellIs" dxfId="172" priority="12" operator="equal">
      <formula>"Fail"</formula>
    </cfRule>
  </conditionalFormatting>
  <conditionalFormatting sqref="L54">
    <cfRule type="cellIs" dxfId="171" priority="11" operator="equal">
      <formula>"Fail"</formula>
    </cfRule>
  </conditionalFormatting>
  <conditionalFormatting sqref="L56">
    <cfRule type="cellIs" dxfId="170" priority="10" operator="equal">
      <formula>"Fail"</formula>
    </cfRule>
  </conditionalFormatting>
  <conditionalFormatting sqref="L58">
    <cfRule type="cellIs" dxfId="169" priority="9" operator="equal">
      <formula>"Fail"</formula>
    </cfRule>
  </conditionalFormatting>
  <conditionalFormatting sqref="L59">
    <cfRule type="cellIs" dxfId="168" priority="8" operator="equal">
      <formula>"Fail"</formula>
    </cfRule>
  </conditionalFormatting>
  <conditionalFormatting sqref="L60">
    <cfRule type="cellIs" dxfId="167" priority="7" operator="equal">
      <formula>"Fail"</formula>
    </cfRule>
  </conditionalFormatting>
  <conditionalFormatting sqref="L62:L63">
    <cfRule type="cellIs" dxfId="166" priority="6" operator="equal">
      <formula>"Fail"</formula>
    </cfRule>
  </conditionalFormatting>
  <conditionalFormatting sqref="L65:L67">
    <cfRule type="cellIs" dxfId="165" priority="5" operator="equal">
      <formula>"Fail"</formula>
    </cfRule>
  </conditionalFormatting>
  <conditionalFormatting sqref="L68">
    <cfRule type="cellIs" dxfId="164" priority="4" operator="equal">
      <formula>"Fail"</formula>
    </cfRule>
  </conditionalFormatting>
  <conditionalFormatting sqref="L70">
    <cfRule type="cellIs" dxfId="163" priority="3" operator="equal">
      <formula>"Fail"</formula>
    </cfRule>
  </conditionalFormatting>
  <conditionalFormatting sqref="L71">
    <cfRule type="cellIs" dxfId="162" priority="2" operator="equal">
      <formula>"Fail"</formula>
    </cfRule>
  </conditionalFormatting>
  <dataValidations count="1">
    <dataValidation type="list" allowBlank="1" showInputMessage="1" showErrorMessage="1" sqref="L6:L8 L10:L12 L14 L16 L18 L20 L22:L24 L26:L27 L29:L32 L34:L35 L37:L39 L42:L44 L46:L48 L50 L52 L54 L56 L58:L60 L62:L63 L65:L68 L70:L71 L73:L75">
      <formula1>"Pass,Fail,Not Apply,Block,Skip"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topLeftCell="C1" workbookViewId="0">
      <selection activeCell="I12" sqref="I12"/>
    </sheetView>
  </sheetViews>
  <sheetFormatPr defaultRowHeight="14.4" x14ac:dyDescent="0.25"/>
  <cols>
    <col min="1" max="1" width="12" customWidth="1"/>
    <col min="2" max="3" width="18" customWidth="1"/>
    <col min="4" max="4" width="20.77734375" customWidth="1"/>
    <col min="5" max="5" width="8" customWidth="1"/>
    <col min="6" max="6" width="10" customWidth="1"/>
    <col min="7" max="7" width="16" customWidth="1"/>
    <col min="8" max="8" width="14" customWidth="1"/>
    <col min="9" max="10" width="50" customWidth="1"/>
    <col min="11" max="11" width="12" style="137"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5"/>
      <c r="L3" s="143"/>
      <c r="M3" s="143"/>
    </row>
    <row r="4" spans="1:16" x14ac:dyDescent="0.25">
      <c r="A4" s="139" t="s">
        <v>779</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129.6" x14ac:dyDescent="0.25">
      <c r="A6" s="4">
        <v>1</v>
      </c>
      <c r="B6" s="5" t="s">
        <v>17</v>
      </c>
      <c r="C6" s="5" t="s">
        <v>152</v>
      </c>
      <c r="D6" s="5" t="s">
        <v>153</v>
      </c>
      <c r="E6" s="5" t="s">
        <v>20</v>
      </c>
      <c r="F6" s="5" t="s">
        <v>21</v>
      </c>
      <c r="G6" s="5" t="s">
        <v>22</v>
      </c>
      <c r="H6" s="5" t="s">
        <v>23</v>
      </c>
      <c r="I6" s="5" t="s">
        <v>781</v>
      </c>
      <c r="J6" s="5" t="s">
        <v>1843</v>
      </c>
      <c r="K6" s="137" t="s">
        <v>1849</v>
      </c>
      <c r="L6" s="46" t="s">
        <v>672</v>
      </c>
      <c r="M6" s="5"/>
      <c r="N6" s="5"/>
      <c r="O6" s="5"/>
      <c r="P6" s="5"/>
    </row>
    <row r="7" spans="1:16" ht="82.2" customHeight="1" x14ac:dyDescent="0.25">
      <c r="A7" s="4">
        <v>2</v>
      </c>
      <c r="B7" s="5" t="s">
        <v>17</v>
      </c>
      <c r="C7" s="5" t="s">
        <v>154</v>
      </c>
      <c r="D7" s="5" t="s">
        <v>155</v>
      </c>
      <c r="E7" s="5" t="s">
        <v>20</v>
      </c>
      <c r="F7" s="5" t="s">
        <v>21</v>
      </c>
      <c r="G7" s="5" t="s">
        <v>22</v>
      </c>
      <c r="H7" s="5" t="s">
        <v>23</v>
      </c>
      <c r="I7" s="5" t="s">
        <v>1396</v>
      </c>
      <c r="J7" s="5" t="s">
        <v>1521</v>
      </c>
      <c r="K7" s="137" t="s">
        <v>1849</v>
      </c>
      <c r="L7" s="46" t="s">
        <v>672</v>
      </c>
      <c r="M7" s="5"/>
      <c r="N7" s="5"/>
      <c r="O7" s="5"/>
      <c r="P7" s="5"/>
    </row>
    <row r="8" spans="1:16" ht="53.4" customHeight="1" x14ac:dyDescent="0.25">
      <c r="A8" s="4">
        <v>3</v>
      </c>
      <c r="B8" s="5" t="s">
        <v>17</v>
      </c>
      <c r="C8" s="5" t="s">
        <v>156</v>
      </c>
      <c r="D8" s="5" t="s">
        <v>157</v>
      </c>
      <c r="E8" s="5" t="s">
        <v>20</v>
      </c>
      <c r="F8" s="5" t="s">
        <v>21</v>
      </c>
      <c r="G8" s="5" t="s">
        <v>22</v>
      </c>
      <c r="H8" s="5" t="s">
        <v>23</v>
      </c>
      <c r="I8" s="5" t="s">
        <v>782</v>
      </c>
      <c r="J8" s="5" t="s">
        <v>1522</v>
      </c>
      <c r="K8" s="137" t="s">
        <v>1849</v>
      </c>
      <c r="L8" s="46" t="s">
        <v>672</v>
      </c>
      <c r="M8" s="5"/>
      <c r="N8" s="5"/>
      <c r="O8" s="5"/>
      <c r="P8" s="5"/>
    </row>
    <row r="9" spans="1:16" x14ac:dyDescent="0.25">
      <c r="A9" s="139" t="s">
        <v>158</v>
      </c>
      <c r="B9" s="140"/>
      <c r="C9" s="140"/>
      <c r="D9" s="140"/>
      <c r="E9" s="140"/>
      <c r="F9" s="140"/>
      <c r="G9" s="140"/>
      <c r="H9" s="140"/>
      <c r="I9" s="140"/>
      <c r="J9" s="140"/>
      <c r="K9" s="140"/>
      <c r="L9" s="140"/>
      <c r="M9" s="140"/>
      <c r="N9" s="140"/>
      <c r="O9" s="140"/>
      <c r="P9" s="140"/>
    </row>
    <row r="10" spans="1:16" ht="67.2" customHeight="1" x14ac:dyDescent="0.25">
      <c r="A10" s="4">
        <v>4</v>
      </c>
      <c r="B10" s="5" t="s">
        <v>17</v>
      </c>
      <c r="C10" s="5" t="s">
        <v>159</v>
      </c>
      <c r="D10" s="5" t="s">
        <v>160</v>
      </c>
      <c r="E10" s="5" t="s">
        <v>20</v>
      </c>
      <c r="F10" s="5" t="s">
        <v>21</v>
      </c>
      <c r="G10" s="5" t="s">
        <v>22</v>
      </c>
      <c r="H10" s="5" t="s">
        <v>23</v>
      </c>
      <c r="I10" s="5" t="s">
        <v>830</v>
      </c>
      <c r="J10" s="5" t="s">
        <v>1523</v>
      </c>
      <c r="K10" s="5"/>
      <c r="L10" s="46" t="s">
        <v>672</v>
      </c>
      <c r="M10" s="5"/>
      <c r="N10" s="5"/>
      <c r="O10" s="5"/>
      <c r="P10" s="5"/>
    </row>
    <row r="11" spans="1:16" x14ac:dyDescent="0.25">
      <c r="A11" s="139" t="s">
        <v>162</v>
      </c>
      <c r="B11" s="140"/>
      <c r="C11" s="140"/>
      <c r="D11" s="140"/>
      <c r="E11" s="140"/>
      <c r="F11" s="140"/>
      <c r="G11" s="140"/>
      <c r="H11" s="140"/>
      <c r="I11" s="140"/>
      <c r="J11" s="140"/>
      <c r="K11" s="140"/>
      <c r="L11" s="140"/>
      <c r="M11" s="140"/>
      <c r="N11" s="140"/>
      <c r="O11" s="140"/>
      <c r="P11" s="140"/>
    </row>
    <row r="12" spans="1:16" ht="59.4" customHeight="1" x14ac:dyDescent="0.25">
      <c r="A12" s="4">
        <v>6</v>
      </c>
      <c r="B12" s="5" t="s">
        <v>17</v>
      </c>
      <c r="C12" s="5" t="s">
        <v>163</v>
      </c>
      <c r="D12" s="5" t="s">
        <v>164</v>
      </c>
      <c r="E12" s="5" t="s">
        <v>20</v>
      </c>
      <c r="F12" s="5" t="s">
        <v>21</v>
      </c>
      <c r="G12" s="5" t="s">
        <v>22</v>
      </c>
      <c r="H12" s="5" t="s">
        <v>23</v>
      </c>
      <c r="I12" s="5" t="s">
        <v>831</v>
      </c>
      <c r="J12" s="5" t="s">
        <v>1524</v>
      </c>
      <c r="K12" s="5"/>
      <c r="L12" s="46" t="s">
        <v>672</v>
      </c>
      <c r="M12" s="5"/>
      <c r="N12" s="5"/>
      <c r="O12" s="5"/>
      <c r="P12" s="5"/>
    </row>
    <row r="13" spans="1:16" ht="96" x14ac:dyDescent="0.25">
      <c r="A13" s="4">
        <v>7</v>
      </c>
      <c r="B13" s="5" t="s">
        <v>17</v>
      </c>
      <c r="C13" s="5" t="s">
        <v>165</v>
      </c>
      <c r="D13" s="5" t="s">
        <v>166</v>
      </c>
      <c r="E13" s="5" t="s">
        <v>20</v>
      </c>
      <c r="F13" s="5" t="s">
        <v>21</v>
      </c>
      <c r="G13" s="5" t="s">
        <v>22</v>
      </c>
      <c r="H13" s="5" t="s">
        <v>23</v>
      </c>
      <c r="I13" s="5" t="s">
        <v>856</v>
      </c>
      <c r="J13" s="5" t="s">
        <v>1525</v>
      </c>
      <c r="K13" s="5"/>
      <c r="L13" s="46" t="s">
        <v>672</v>
      </c>
      <c r="M13" s="5"/>
      <c r="N13" s="5"/>
      <c r="O13" s="5"/>
      <c r="P13" s="5"/>
    </row>
    <row r="14" spans="1:16" ht="60" x14ac:dyDescent="0.25">
      <c r="A14" s="4">
        <v>8</v>
      </c>
      <c r="B14" s="5" t="s">
        <v>17</v>
      </c>
      <c r="C14" s="5" t="s">
        <v>167</v>
      </c>
      <c r="D14" s="5" t="s">
        <v>168</v>
      </c>
      <c r="E14" s="5" t="s">
        <v>20</v>
      </c>
      <c r="F14" s="5" t="s">
        <v>21</v>
      </c>
      <c r="G14" s="5" t="s">
        <v>22</v>
      </c>
      <c r="H14" s="5" t="s">
        <v>23</v>
      </c>
      <c r="I14" s="5" t="s">
        <v>854</v>
      </c>
      <c r="J14" s="5" t="s">
        <v>1526</v>
      </c>
      <c r="K14" s="5"/>
      <c r="L14" s="46" t="s">
        <v>672</v>
      </c>
      <c r="M14" s="5"/>
      <c r="N14" s="5"/>
      <c r="O14" s="5"/>
      <c r="P14" s="5"/>
    </row>
    <row r="15" spans="1:16" ht="96" x14ac:dyDescent="0.25">
      <c r="A15" s="4">
        <v>9</v>
      </c>
      <c r="B15" s="5" t="s">
        <v>17</v>
      </c>
      <c r="C15" s="5" t="s">
        <v>169</v>
      </c>
      <c r="D15" s="5" t="s">
        <v>170</v>
      </c>
      <c r="E15" s="5" t="s">
        <v>20</v>
      </c>
      <c r="F15" s="5" t="s">
        <v>21</v>
      </c>
      <c r="G15" s="5" t="s">
        <v>22</v>
      </c>
      <c r="H15" s="5" t="s">
        <v>23</v>
      </c>
      <c r="I15" s="5" t="s">
        <v>857</v>
      </c>
      <c r="J15" s="5" t="s">
        <v>1527</v>
      </c>
      <c r="K15" s="5"/>
      <c r="L15" s="46" t="s">
        <v>672</v>
      </c>
      <c r="M15" s="5"/>
      <c r="N15" s="5"/>
      <c r="O15" s="5"/>
      <c r="P15" s="5"/>
    </row>
    <row r="16" spans="1:16" ht="60" x14ac:dyDescent="0.25">
      <c r="A16" s="4">
        <v>10</v>
      </c>
      <c r="B16" s="5" t="s">
        <v>17</v>
      </c>
      <c r="C16" s="5" t="s">
        <v>171</v>
      </c>
      <c r="D16" s="5" t="s">
        <v>172</v>
      </c>
      <c r="E16" s="5" t="s">
        <v>20</v>
      </c>
      <c r="F16" s="5" t="s">
        <v>21</v>
      </c>
      <c r="G16" s="5" t="s">
        <v>22</v>
      </c>
      <c r="H16" s="5" t="s">
        <v>23</v>
      </c>
      <c r="I16" s="5" t="s">
        <v>854</v>
      </c>
      <c r="J16" s="5" t="s">
        <v>1528</v>
      </c>
      <c r="K16" s="5"/>
      <c r="L16" s="46" t="s">
        <v>672</v>
      </c>
      <c r="M16" s="5"/>
      <c r="N16" s="5"/>
      <c r="O16" s="5"/>
      <c r="P16" s="5"/>
    </row>
    <row r="17" spans="1:16" x14ac:dyDescent="0.25">
      <c r="A17" s="139" t="s">
        <v>173</v>
      </c>
      <c r="B17" s="140"/>
      <c r="C17" s="140"/>
      <c r="D17" s="140"/>
      <c r="E17" s="140"/>
      <c r="F17" s="140"/>
      <c r="G17" s="140"/>
      <c r="H17" s="140"/>
      <c r="I17" s="140"/>
      <c r="J17" s="140"/>
      <c r="K17" s="140"/>
      <c r="L17" s="140"/>
      <c r="M17" s="140"/>
      <c r="N17" s="140"/>
      <c r="O17" s="140"/>
      <c r="P17" s="140"/>
    </row>
    <row r="18" spans="1:16" ht="60" x14ac:dyDescent="0.25">
      <c r="A18" s="4">
        <v>11</v>
      </c>
      <c r="B18" s="5" t="s">
        <v>17</v>
      </c>
      <c r="C18" s="5" t="s">
        <v>174</v>
      </c>
      <c r="D18" s="5" t="s">
        <v>175</v>
      </c>
      <c r="E18" s="5" t="s">
        <v>55</v>
      </c>
      <c r="F18" s="5" t="s">
        <v>21</v>
      </c>
      <c r="G18" s="5" t="s">
        <v>22</v>
      </c>
      <c r="H18" s="5" t="s">
        <v>23</v>
      </c>
      <c r="I18" s="5" t="s">
        <v>783</v>
      </c>
      <c r="J18" s="5" t="s">
        <v>1529</v>
      </c>
      <c r="K18" s="5"/>
      <c r="L18" s="46" t="s">
        <v>672</v>
      </c>
      <c r="M18" s="5"/>
      <c r="N18" s="5"/>
      <c r="O18" s="5"/>
      <c r="P18" s="5"/>
    </row>
    <row r="19" spans="1:16" ht="60" x14ac:dyDescent="0.25">
      <c r="A19" s="4">
        <v>12</v>
      </c>
      <c r="B19" s="5" t="s">
        <v>17</v>
      </c>
      <c r="C19" s="5" t="s">
        <v>176</v>
      </c>
      <c r="D19" s="5" t="s">
        <v>177</v>
      </c>
      <c r="E19" s="5" t="s">
        <v>55</v>
      </c>
      <c r="F19" s="5" t="s">
        <v>21</v>
      </c>
      <c r="G19" s="5" t="s">
        <v>22</v>
      </c>
      <c r="H19" s="5" t="s">
        <v>23</v>
      </c>
      <c r="I19" s="5" t="s">
        <v>784</v>
      </c>
      <c r="J19" s="5" t="s">
        <v>1529</v>
      </c>
      <c r="K19" s="5"/>
      <c r="L19" s="46" t="s">
        <v>672</v>
      </c>
      <c r="M19" s="5"/>
      <c r="N19" s="5"/>
      <c r="O19" s="5"/>
      <c r="P19" s="5"/>
    </row>
    <row r="20" spans="1:16" x14ac:dyDescent="0.25">
      <c r="A20" s="139" t="s">
        <v>178</v>
      </c>
      <c r="B20" s="140"/>
      <c r="C20" s="140"/>
      <c r="D20" s="140"/>
      <c r="E20" s="140"/>
      <c r="F20" s="140"/>
      <c r="G20" s="140"/>
      <c r="H20" s="140"/>
      <c r="I20" s="140"/>
      <c r="J20" s="140"/>
      <c r="K20" s="140"/>
      <c r="L20" s="140"/>
      <c r="M20" s="140"/>
      <c r="N20" s="140"/>
      <c r="O20" s="140"/>
      <c r="P20" s="140"/>
    </row>
    <row r="21" spans="1:16" ht="36" x14ac:dyDescent="0.25">
      <c r="A21" s="4">
        <v>13</v>
      </c>
      <c r="B21" s="5" t="s">
        <v>17</v>
      </c>
      <c r="C21" s="5" t="s">
        <v>179</v>
      </c>
      <c r="D21" s="5" t="s">
        <v>180</v>
      </c>
      <c r="E21" s="5" t="s">
        <v>20</v>
      </c>
      <c r="F21" s="5" t="s">
        <v>21</v>
      </c>
      <c r="G21" s="5" t="s">
        <v>22</v>
      </c>
      <c r="H21" s="5" t="s">
        <v>23</v>
      </c>
      <c r="I21" s="5" t="s">
        <v>785</v>
      </c>
      <c r="J21" s="5" t="s">
        <v>1529</v>
      </c>
      <c r="K21" s="5"/>
      <c r="L21" s="46" t="s">
        <v>672</v>
      </c>
      <c r="M21" s="5"/>
      <c r="N21" s="5"/>
      <c r="O21" s="5"/>
      <c r="P21" s="5"/>
    </row>
    <row r="22" spans="1:16" x14ac:dyDescent="0.25">
      <c r="A22" s="139" t="s">
        <v>786</v>
      </c>
      <c r="B22" s="140"/>
      <c r="C22" s="140"/>
      <c r="D22" s="140"/>
      <c r="E22" s="140"/>
      <c r="F22" s="140"/>
      <c r="G22" s="140"/>
      <c r="H22" s="140"/>
      <c r="I22" s="140"/>
      <c r="J22" s="140"/>
      <c r="K22" s="140"/>
      <c r="L22" s="140"/>
      <c r="M22" s="140"/>
      <c r="N22" s="140"/>
      <c r="O22" s="140"/>
      <c r="P22" s="140"/>
    </row>
    <row r="23" spans="1:16" x14ac:dyDescent="0.25">
      <c r="A23" s="139" t="s">
        <v>88</v>
      </c>
      <c r="B23" s="140"/>
      <c r="C23" s="140"/>
      <c r="D23" s="140"/>
      <c r="E23" s="140"/>
      <c r="F23" s="140"/>
      <c r="G23" s="140"/>
      <c r="H23" s="140"/>
      <c r="I23" s="140"/>
      <c r="J23" s="140"/>
      <c r="K23" s="140"/>
      <c r="L23" s="140"/>
      <c r="M23" s="140"/>
      <c r="N23" s="140"/>
      <c r="O23" s="140"/>
      <c r="P23" s="140"/>
    </row>
    <row r="24" spans="1:16" ht="36" x14ac:dyDescent="0.25">
      <c r="A24" s="4">
        <v>14</v>
      </c>
      <c r="B24" s="5" t="s">
        <v>17</v>
      </c>
      <c r="C24" s="5" t="s">
        <v>181</v>
      </c>
      <c r="D24" s="5" t="s">
        <v>153</v>
      </c>
      <c r="E24" s="5" t="s">
        <v>20</v>
      </c>
      <c r="F24" s="5" t="s">
        <v>21</v>
      </c>
      <c r="G24" s="5" t="s">
        <v>22</v>
      </c>
      <c r="H24" s="5" t="s">
        <v>23</v>
      </c>
      <c r="I24" s="5" t="s">
        <v>787</v>
      </c>
      <c r="J24" s="5" t="s">
        <v>1509</v>
      </c>
      <c r="K24" s="5"/>
      <c r="L24" s="46" t="s">
        <v>672</v>
      </c>
      <c r="M24" s="5"/>
      <c r="N24" s="5"/>
      <c r="O24" s="5"/>
      <c r="P24" s="5"/>
    </row>
    <row r="25" spans="1:16" ht="60" x14ac:dyDescent="0.25">
      <c r="A25" s="4">
        <v>15</v>
      </c>
      <c r="B25" s="5" t="s">
        <v>17</v>
      </c>
      <c r="C25" s="5" t="s">
        <v>182</v>
      </c>
      <c r="D25" s="5" t="s">
        <v>155</v>
      </c>
      <c r="E25" s="5" t="s">
        <v>20</v>
      </c>
      <c r="F25" s="5" t="s">
        <v>21</v>
      </c>
      <c r="G25" s="5" t="s">
        <v>22</v>
      </c>
      <c r="H25" s="5" t="s">
        <v>23</v>
      </c>
      <c r="I25" s="5" t="s">
        <v>1397</v>
      </c>
      <c r="J25" s="5" t="s">
        <v>1530</v>
      </c>
      <c r="K25" s="5"/>
      <c r="L25" s="46" t="s">
        <v>672</v>
      </c>
      <c r="M25" s="5"/>
      <c r="N25" s="5"/>
      <c r="O25" s="5"/>
      <c r="P25" s="5"/>
    </row>
    <row r="26" spans="1:16" ht="36" x14ac:dyDescent="0.25">
      <c r="A26" s="4">
        <v>16</v>
      </c>
      <c r="B26" s="5" t="s">
        <v>17</v>
      </c>
      <c r="C26" s="5" t="s">
        <v>183</v>
      </c>
      <c r="D26" s="5" t="s">
        <v>157</v>
      </c>
      <c r="E26" s="5" t="s">
        <v>20</v>
      </c>
      <c r="F26" s="5" t="s">
        <v>21</v>
      </c>
      <c r="G26" s="5" t="s">
        <v>22</v>
      </c>
      <c r="H26" s="5" t="s">
        <v>23</v>
      </c>
      <c r="I26" s="5" t="s">
        <v>788</v>
      </c>
      <c r="J26" s="5" t="s">
        <v>1531</v>
      </c>
      <c r="K26" s="5"/>
      <c r="L26" s="46" t="s">
        <v>672</v>
      </c>
      <c r="M26" s="5"/>
      <c r="N26" s="5"/>
      <c r="O26" s="5"/>
      <c r="P26" s="5"/>
    </row>
    <row r="27" spans="1:16" x14ac:dyDescent="0.25">
      <c r="A27" s="139" t="s">
        <v>184</v>
      </c>
      <c r="B27" s="140"/>
      <c r="C27" s="140"/>
      <c r="D27" s="140"/>
      <c r="E27" s="140"/>
      <c r="F27" s="140"/>
      <c r="G27" s="140"/>
      <c r="H27" s="140"/>
      <c r="I27" s="140"/>
      <c r="J27" s="140"/>
      <c r="K27" s="140"/>
      <c r="L27" s="140"/>
      <c r="M27" s="140"/>
      <c r="N27" s="140"/>
      <c r="O27" s="140"/>
      <c r="P27" s="140"/>
    </row>
    <row r="28" spans="1:16" ht="60" x14ac:dyDescent="0.25">
      <c r="A28" s="4">
        <v>17</v>
      </c>
      <c r="B28" s="5" t="s">
        <v>17</v>
      </c>
      <c r="C28" s="5" t="s">
        <v>185</v>
      </c>
      <c r="D28" s="5" t="s">
        <v>160</v>
      </c>
      <c r="E28" s="5" t="s">
        <v>20</v>
      </c>
      <c r="F28" s="5" t="s">
        <v>21</v>
      </c>
      <c r="G28" s="5" t="s">
        <v>22</v>
      </c>
      <c r="H28" s="5" t="s">
        <v>23</v>
      </c>
      <c r="I28" s="5" t="s">
        <v>832</v>
      </c>
      <c r="J28" s="5" t="s">
        <v>1532</v>
      </c>
      <c r="K28" s="5"/>
      <c r="L28" s="46" t="s">
        <v>672</v>
      </c>
      <c r="M28" s="5"/>
      <c r="N28" s="5"/>
      <c r="O28" s="5"/>
      <c r="P28" s="5"/>
    </row>
    <row r="29" spans="1:16" ht="60" x14ac:dyDescent="0.25">
      <c r="A29" s="4">
        <v>18</v>
      </c>
      <c r="B29" s="5" t="s">
        <v>17</v>
      </c>
      <c r="C29" s="5" t="s">
        <v>186</v>
      </c>
      <c r="D29" s="5" t="s">
        <v>161</v>
      </c>
      <c r="E29" s="5" t="s">
        <v>20</v>
      </c>
      <c r="F29" s="5" t="s">
        <v>21</v>
      </c>
      <c r="G29" s="5" t="s">
        <v>22</v>
      </c>
      <c r="H29" s="5" t="s">
        <v>23</v>
      </c>
      <c r="I29" s="5" t="s">
        <v>833</v>
      </c>
      <c r="J29" s="5" t="s">
        <v>1533</v>
      </c>
      <c r="K29" s="5"/>
      <c r="L29" s="46" t="s">
        <v>672</v>
      </c>
      <c r="M29" s="5"/>
      <c r="N29" s="5"/>
      <c r="O29" s="5"/>
      <c r="P29" s="5"/>
    </row>
    <row r="30" spans="1:16" x14ac:dyDescent="0.25">
      <c r="A30" s="139" t="s">
        <v>187</v>
      </c>
      <c r="B30" s="140"/>
      <c r="C30" s="140"/>
      <c r="D30" s="140"/>
      <c r="E30" s="140"/>
      <c r="F30" s="140"/>
      <c r="G30" s="140"/>
      <c r="H30" s="140"/>
      <c r="I30" s="140"/>
      <c r="J30" s="140"/>
      <c r="K30" s="140"/>
      <c r="L30" s="140"/>
      <c r="M30" s="140"/>
      <c r="N30" s="140"/>
      <c r="O30" s="140"/>
      <c r="P30" s="140"/>
    </row>
    <row r="31" spans="1:16" ht="48" x14ac:dyDescent="0.25">
      <c r="A31" s="4">
        <v>19</v>
      </c>
      <c r="B31" s="5" t="s">
        <v>17</v>
      </c>
      <c r="C31" s="5" t="s">
        <v>188</v>
      </c>
      <c r="D31" s="5" t="s">
        <v>164</v>
      </c>
      <c r="E31" s="5" t="s">
        <v>20</v>
      </c>
      <c r="F31" s="5" t="s">
        <v>21</v>
      </c>
      <c r="G31" s="5" t="s">
        <v>22</v>
      </c>
      <c r="H31" s="5" t="s">
        <v>23</v>
      </c>
      <c r="I31" s="5" t="s">
        <v>834</v>
      </c>
      <c r="J31" s="5" t="s">
        <v>1534</v>
      </c>
      <c r="K31" s="5"/>
      <c r="L31" s="46" t="s">
        <v>672</v>
      </c>
      <c r="M31" s="5"/>
      <c r="N31" s="5"/>
      <c r="O31" s="5"/>
      <c r="P31" s="5"/>
    </row>
    <row r="32" spans="1:16" ht="96" x14ac:dyDescent="0.25">
      <c r="A32" s="4">
        <v>20</v>
      </c>
      <c r="B32" s="5" t="s">
        <v>17</v>
      </c>
      <c r="C32" s="5" t="s">
        <v>189</v>
      </c>
      <c r="D32" s="5" t="s">
        <v>166</v>
      </c>
      <c r="E32" s="5" t="s">
        <v>20</v>
      </c>
      <c r="F32" s="5" t="s">
        <v>21</v>
      </c>
      <c r="G32" s="5" t="s">
        <v>22</v>
      </c>
      <c r="H32" s="5" t="s">
        <v>23</v>
      </c>
      <c r="I32" s="5" t="s">
        <v>858</v>
      </c>
      <c r="J32" s="5" t="s">
        <v>1535</v>
      </c>
      <c r="K32" s="5"/>
      <c r="L32" s="46" t="s">
        <v>672</v>
      </c>
      <c r="M32" s="5"/>
      <c r="N32" s="5"/>
      <c r="O32" s="5"/>
      <c r="P32" s="5"/>
    </row>
    <row r="33" spans="1:16" ht="60" x14ac:dyDescent="0.25">
      <c r="A33" s="4">
        <v>21</v>
      </c>
      <c r="B33" s="5" t="s">
        <v>17</v>
      </c>
      <c r="C33" s="5" t="s">
        <v>190</v>
      </c>
      <c r="D33" s="5" t="s">
        <v>168</v>
      </c>
      <c r="E33" s="5" t="s">
        <v>20</v>
      </c>
      <c r="F33" s="5" t="s">
        <v>21</v>
      </c>
      <c r="G33" s="5" t="s">
        <v>22</v>
      </c>
      <c r="H33" s="5" t="s">
        <v>23</v>
      </c>
      <c r="I33" s="5" t="s">
        <v>855</v>
      </c>
      <c r="J33" s="5" t="s">
        <v>1536</v>
      </c>
      <c r="K33" s="5"/>
      <c r="L33" s="46" t="s">
        <v>672</v>
      </c>
      <c r="M33" s="5"/>
      <c r="N33" s="5"/>
      <c r="O33" s="5"/>
      <c r="P33" s="5"/>
    </row>
    <row r="34" spans="1:16" ht="96" x14ac:dyDescent="0.25">
      <c r="A34" s="4">
        <v>22</v>
      </c>
      <c r="B34" s="5" t="s">
        <v>17</v>
      </c>
      <c r="C34" s="5" t="s">
        <v>191</v>
      </c>
      <c r="D34" s="5" t="s">
        <v>170</v>
      </c>
      <c r="E34" s="5" t="s">
        <v>20</v>
      </c>
      <c r="F34" s="5" t="s">
        <v>21</v>
      </c>
      <c r="G34" s="5" t="s">
        <v>22</v>
      </c>
      <c r="H34" s="5" t="s">
        <v>23</v>
      </c>
      <c r="I34" s="5" t="s">
        <v>859</v>
      </c>
      <c r="J34" s="5" t="s">
        <v>1537</v>
      </c>
      <c r="K34" s="5"/>
      <c r="L34" s="46" t="s">
        <v>672</v>
      </c>
      <c r="M34" s="5"/>
      <c r="N34" s="5"/>
      <c r="O34" s="5"/>
      <c r="P34" s="5"/>
    </row>
    <row r="35" spans="1:16" ht="60" x14ac:dyDescent="0.25">
      <c r="A35" s="4">
        <v>23</v>
      </c>
      <c r="B35" s="5" t="s">
        <v>17</v>
      </c>
      <c r="C35" s="5" t="s">
        <v>192</v>
      </c>
      <c r="D35" s="5" t="s">
        <v>172</v>
      </c>
      <c r="E35" s="5" t="s">
        <v>20</v>
      </c>
      <c r="F35" s="5" t="s">
        <v>21</v>
      </c>
      <c r="G35" s="5" t="s">
        <v>22</v>
      </c>
      <c r="H35" s="5" t="s">
        <v>23</v>
      </c>
      <c r="I35" s="5" t="s">
        <v>855</v>
      </c>
      <c r="J35" s="5" t="s">
        <v>1538</v>
      </c>
      <c r="K35" s="5"/>
      <c r="L35" s="46" t="s">
        <v>672</v>
      </c>
      <c r="M35" s="5"/>
      <c r="N35" s="5"/>
      <c r="O35" s="5"/>
      <c r="P35" s="5"/>
    </row>
    <row r="36" spans="1:16" x14ac:dyDescent="0.25">
      <c r="A36" s="139" t="s">
        <v>193</v>
      </c>
      <c r="B36" s="140"/>
      <c r="C36" s="140"/>
      <c r="D36" s="140"/>
      <c r="E36" s="140"/>
      <c r="F36" s="140"/>
      <c r="G36" s="140"/>
      <c r="H36" s="140"/>
      <c r="I36" s="140"/>
      <c r="J36" s="140"/>
      <c r="K36" s="140"/>
      <c r="L36" s="140"/>
      <c r="M36" s="140"/>
      <c r="N36" s="140"/>
      <c r="O36" s="140"/>
      <c r="P36" s="140"/>
    </row>
    <row r="37" spans="1:16" ht="60" x14ac:dyDescent="0.25">
      <c r="A37" s="4">
        <v>24</v>
      </c>
      <c r="B37" s="5" t="s">
        <v>17</v>
      </c>
      <c r="C37" s="5" t="s">
        <v>194</v>
      </c>
      <c r="D37" s="5" t="s">
        <v>175</v>
      </c>
      <c r="E37" s="5" t="s">
        <v>55</v>
      </c>
      <c r="F37" s="5" t="s">
        <v>21</v>
      </c>
      <c r="G37" s="5" t="s">
        <v>22</v>
      </c>
      <c r="H37" s="5" t="s">
        <v>23</v>
      </c>
      <c r="I37" s="5" t="s">
        <v>789</v>
      </c>
      <c r="J37" s="5" t="s">
        <v>1531</v>
      </c>
      <c r="K37" s="5"/>
      <c r="L37" s="46" t="s">
        <v>672</v>
      </c>
      <c r="M37" s="5"/>
      <c r="N37" s="5"/>
      <c r="O37" s="5"/>
      <c r="P37" s="5"/>
    </row>
    <row r="38" spans="1:16" ht="60" x14ac:dyDescent="0.25">
      <c r="A38" s="4">
        <v>25</v>
      </c>
      <c r="B38" s="5" t="s">
        <v>17</v>
      </c>
      <c r="C38" s="5" t="s">
        <v>195</v>
      </c>
      <c r="D38" s="5" t="s">
        <v>177</v>
      </c>
      <c r="E38" s="5" t="s">
        <v>55</v>
      </c>
      <c r="F38" s="5" t="s">
        <v>21</v>
      </c>
      <c r="G38" s="5" t="s">
        <v>22</v>
      </c>
      <c r="H38" s="5" t="s">
        <v>23</v>
      </c>
      <c r="I38" s="5" t="s">
        <v>790</v>
      </c>
      <c r="J38" s="5" t="s">
        <v>1531</v>
      </c>
      <c r="K38" s="5"/>
      <c r="L38" s="46" t="s">
        <v>672</v>
      </c>
      <c r="M38" s="5"/>
      <c r="N38" s="5"/>
      <c r="O38" s="5"/>
      <c r="P38" s="5"/>
    </row>
    <row r="39" spans="1:16" x14ac:dyDescent="0.25">
      <c r="A39" s="139" t="s">
        <v>196</v>
      </c>
      <c r="B39" s="140"/>
      <c r="C39" s="140"/>
      <c r="D39" s="140"/>
      <c r="E39" s="140"/>
      <c r="F39" s="140"/>
      <c r="G39" s="140"/>
      <c r="H39" s="140"/>
      <c r="I39" s="140"/>
      <c r="J39" s="140"/>
      <c r="K39" s="140"/>
      <c r="L39" s="140"/>
      <c r="M39" s="140"/>
      <c r="N39" s="140"/>
      <c r="O39" s="140"/>
      <c r="P39" s="140"/>
    </row>
    <row r="40" spans="1:16" ht="36" x14ac:dyDescent="0.25">
      <c r="A40" s="4">
        <v>26</v>
      </c>
      <c r="B40" s="5" t="s">
        <v>17</v>
      </c>
      <c r="C40" s="5" t="s">
        <v>197</v>
      </c>
      <c r="D40" s="5" t="s">
        <v>180</v>
      </c>
      <c r="E40" s="5" t="s">
        <v>20</v>
      </c>
      <c r="F40" s="5" t="s">
        <v>21</v>
      </c>
      <c r="G40" s="5" t="s">
        <v>22</v>
      </c>
      <c r="H40" s="5" t="s">
        <v>23</v>
      </c>
      <c r="I40" s="5" t="s">
        <v>791</v>
      </c>
      <c r="J40" s="5" t="s">
        <v>1531</v>
      </c>
      <c r="K40" s="5"/>
      <c r="L40" s="46" t="s">
        <v>672</v>
      </c>
      <c r="M40" s="5"/>
      <c r="N40" s="5"/>
      <c r="O40" s="5"/>
      <c r="P40" s="5"/>
    </row>
    <row r="41" spans="1:16" x14ac:dyDescent="0.25">
      <c r="A41" s="139" t="s">
        <v>829</v>
      </c>
      <c r="B41" s="140"/>
      <c r="C41" s="140"/>
      <c r="D41" s="140"/>
      <c r="E41" s="140"/>
      <c r="F41" s="140"/>
      <c r="G41" s="140"/>
      <c r="H41" s="140"/>
      <c r="I41" s="140"/>
      <c r="J41" s="140"/>
      <c r="K41" s="140"/>
      <c r="L41" s="140"/>
      <c r="M41" s="140"/>
      <c r="N41" s="140"/>
      <c r="O41" s="140"/>
      <c r="P41" s="140"/>
    </row>
    <row r="42" spans="1:16" x14ac:dyDescent="0.25">
      <c r="A42" s="139" t="s">
        <v>89</v>
      </c>
      <c r="B42" s="140"/>
      <c r="C42" s="140"/>
      <c r="D42" s="140"/>
      <c r="E42" s="140"/>
      <c r="F42" s="140"/>
      <c r="G42" s="140"/>
      <c r="H42" s="140"/>
      <c r="I42" s="140"/>
      <c r="J42" s="140"/>
      <c r="K42" s="140"/>
      <c r="L42" s="140"/>
      <c r="M42" s="140"/>
      <c r="N42" s="140"/>
      <c r="O42" s="140"/>
      <c r="P42" s="140"/>
    </row>
    <row r="43" spans="1:16" ht="72" x14ac:dyDescent="0.25">
      <c r="A43" s="4">
        <v>27</v>
      </c>
      <c r="B43" s="5" t="s">
        <v>17</v>
      </c>
      <c r="C43" s="5" t="s">
        <v>198</v>
      </c>
      <c r="D43" s="5" t="s">
        <v>199</v>
      </c>
      <c r="E43" s="5" t="s">
        <v>20</v>
      </c>
      <c r="F43" s="5" t="s">
        <v>21</v>
      </c>
      <c r="G43" s="5" t="s">
        <v>22</v>
      </c>
      <c r="H43" s="5" t="s">
        <v>23</v>
      </c>
      <c r="I43" s="5" t="s">
        <v>1400</v>
      </c>
      <c r="J43" s="5" t="s">
        <v>1539</v>
      </c>
      <c r="K43" s="5"/>
      <c r="L43" s="46" t="s">
        <v>672</v>
      </c>
      <c r="M43" s="5"/>
      <c r="N43" s="5"/>
      <c r="O43" s="5"/>
      <c r="P43" s="5"/>
    </row>
    <row r="44" spans="1:16" ht="60" x14ac:dyDescent="0.25">
      <c r="A44" s="4">
        <v>28</v>
      </c>
      <c r="B44" s="5" t="s">
        <v>17</v>
      </c>
      <c r="C44" s="5" t="s">
        <v>200</v>
      </c>
      <c r="D44" s="5" t="s">
        <v>201</v>
      </c>
      <c r="E44" s="5" t="s">
        <v>20</v>
      </c>
      <c r="F44" s="5" t="s">
        <v>21</v>
      </c>
      <c r="G44" s="5" t="s">
        <v>22</v>
      </c>
      <c r="H44" s="5" t="s">
        <v>23</v>
      </c>
      <c r="I44" s="5" t="s">
        <v>1396</v>
      </c>
      <c r="J44" s="5" t="s">
        <v>1540</v>
      </c>
      <c r="K44" s="5"/>
      <c r="L44" s="46" t="s">
        <v>672</v>
      </c>
      <c r="M44" s="5"/>
      <c r="N44" s="5"/>
      <c r="O44" s="5"/>
      <c r="P44" s="5"/>
    </row>
    <row r="45" spans="1:16" ht="72" x14ac:dyDescent="0.25">
      <c r="A45" s="4">
        <v>29</v>
      </c>
      <c r="B45" s="5" t="s">
        <v>17</v>
      </c>
      <c r="C45" s="5" t="s">
        <v>202</v>
      </c>
      <c r="D45" s="5" t="s">
        <v>203</v>
      </c>
      <c r="E45" s="5" t="s">
        <v>20</v>
      </c>
      <c r="F45" s="5" t="s">
        <v>21</v>
      </c>
      <c r="G45" s="5" t="s">
        <v>22</v>
      </c>
      <c r="H45" s="5" t="s">
        <v>23</v>
      </c>
      <c r="I45" s="5" t="s">
        <v>1399</v>
      </c>
      <c r="J45" s="5" t="s">
        <v>1541</v>
      </c>
      <c r="K45" s="5"/>
      <c r="L45" s="46" t="s">
        <v>672</v>
      </c>
      <c r="M45" s="5"/>
      <c r="N45" s="5"/>
      <c r="O45" s="5"/>
      <c r="P45" s="5"/>
    </row>
    <row r="46" spans="1:16" x14ac:dyDescent="0.25">
      <c r="A46" s="139" t="s">
        <v>835</v>
      </c>
      <c r="B46" s="140"/>
      <c r="C46" s="140"/>
      <c r="D46" s="140"/>
      <c r="E46" s="140"/>
      <c r="F46" s="140"/>
      <c r="G46" s="140"/>
      <c r="H46" s="140"/>
      <c r="I46" s="140"/>
      <c r="J46" s="140"/>
      <c r="K46" s="140"/>
      <c r="L46" s="140"/>
      <c r="M46" s="140"/>
      <c r="N46" s="140"/>
      <c r="O46" s="140"/>
      <c r="P46" s="140"/>
    </row>
    <row r="47" spans="1:16" x14ac:dyDescent="0.25">
      <c r="A47" s="139" t="s">
        <v>92</v>
      </c>
      <c r="B47" s="140"/>
      <c r="C47" s="140"/>
      <c r="D47" s="140"/>
      <c r="E47" s="140"/>
      <c r="F47" s="140"/>
      <c r="G47" s="140"/>
      <c r="H47" s="140"/>
      <c r="I47" s="140"/>
      <c r="J47" s="140"/>
      <c r="K47" s="140"/>
      <c r="L47" s="140"/>
      <c r="M47" s="140"/>
      <c r="N47" s="140"/>
      <c r="O47" s="140"/>
      <c r="P47" s="140"/>
    </row>
    <row r="48" spans="1:16" ht="72" x14ac:dyDescent="0.25">
      <c r="A48" s="4">
        <v>30</v>
      </c>
      <c r="B48" s="5" t="s">
        <v>17</v>
      </c>
      <c r="C48" s="5" t="s">
        <v>204</v>
      </c>
      <c r="D48" s="5" t="s">
        <v>199</v>
      </c>
      <c r="E48" s="5" t="s">
        <v>20</v>
      </c>
      <c r="F48" s="5" t="s">
        <v>21</v>
      </c>
      <c r="G48" s="5" t="s">
        <v>22</v>
      </c>
      <c r="H48" s="5" t="s">
        <v>23</v>
      </c>
      <c r="I48" s="5" t="s">
        <v>1398</v>
      </c>
      <c r="J48" s="5" t="s">
        <v>1542</v>
      </c>
      <c r="K48" s="5"/>
      <c r="L48" s="46" t="s">
        <v>672</v>
      </c>
      <c r="M48" s="5"/>
      <c r="N48" s="5"/>
      <c r="O48" s="5"/>
      <c r="P48" s="5"/>
    </row>
    <row r="49" spans="1:16" ht="72" x14ac:dyDescent="0.25">
      <c r="A49" s="4">
        <v>31</v>
      </c>
      <c r="B49" s="5" t="s">
        <v>17</v>
      </c>
      <c r="C49" s="5" t="s">
        <v>205</v>
      </c>
      <c r="D49" s="5" t="s">
        <v>201</v>
      </c>
      <c r="E49" s="5" t="s">
        <v>20</v>
      </c>
      <c r="F49" s="5" t="s">
        <v>21</v>
      </c>
      <c r="G49" s="5" t="s">
        <v>22</v>
      </c>
      <c r="H49" s="5" t="s">
        <v>23</v>
      </c>
      <c r="I49" s="5" t="s">
        <v>1397</v>
      </c>
      <c r="J49" s="5" t="s">
        <v>1543</v>
      </c>
      <c r="K49" s="5"/>
      <c r="L49" s="46" t="s">
        <v>672</v>
      </c>
      <c r="M49" s="5"/>
      <c r="N49" s="5"/>
      <c r="O49" s="5"/>
      <c r="P49" s="5"/>
    </row>
    <row r="50" spans="1:16" ht="72" x14ac:dyDescent="0.25">
      <c r="A50" s="4">
        <v>32</v>
      </c>
      <c r="B50" s="5" t="s">
        <v>17</v>
      </c>
      <c r="C50" s="5" t="s">
        <v>206</v>
      </c>
      <c r="D50" s="5" t="s">
        <v>203</v>
      </c>
      <c r="E50" s="5" t="s">
        <v>20</v>
      </c>
      <c r="F50" s="5" t="s">
        <v>21</v>
      </c>
      <c r="G50" s="5" t="s">
        <v>22</v>
      </c>
      <c r="H50" s="5" t="s">
        <v>23</v>
      </c>
      <c r="I50" s="5" t="s">
        <v>1401</v>
      </c>
      <c r="J50" s="5" t="s">
        <v>1544</v>
      </c>
      <c r="K50" s="5"/>
      <c r="L50" s="46" t="s">
        <v>672</v>
      </c>
      <c r="M50" s="5"/>
      <c r="N50" s="5"/>
      <c r="O50" s="5"/>
      <c r="P50" s="5"/>
    </row>
  </sheetData>
  <mergeCells count="26">
    <mergeCell ref="A47:P47"/>
    <mergeCell ref="K2:K3"/>
    <mergeCell ref="A23:P23"/>
    <mergeCell ref="J2:J3"/>
    <mergeCell ref="L2:L3"/>
    <mergeCell ref="A36:P36"/>
    <mergeCell ref="A17:P17"/>
    <mergeCell ref="A11:P11"/>
    <mergeCell ref="A20:P20"/>
    <mergeCell ref="C2:F2"/>
    <mergeCell ref="G2:G3"/>
    <mergeCell ref="I2:I3"/>
    <mergeCell ref="A46:P46"/>
    <mergeCell ref="A5:P5"/>
    <mergeCell ref="A41:P41"/>
    <mergeCell ref="A22:P22"/>
    <mergeCell ref="M2:M3"/>
    <mergeCell ref="B2:B3"/>
    <mergeCell ref="A4:P4"/>
    <mergeCell ref="H2:H3"/>
    <mergeCell ref="A42:P42"/>
    <mergeCell ref="A27:P27"/>
    <mergeCell ref="A39:P39"/>
    <mergeCell ref="A9:P9"/>
    <mergeCell ref="A30:P30"/>
    <mergeCell ref="A2:A3"/>
  </mergeCells>
  <phoneticPr fontId="4" type="noConversion"/>
  <conditionalFormatting sqref="L6:L8">
    <cfRule type="cellIs" dxfId="161" priority="28" operator="equal">
      <formula>"Fail"</formula>
    </cfRule>
  </conditionalFormatting>
  <conditionalFormatting sqref="L21">
    <cfRule type="cellIs" dxfId="160" priority="12" operator="equal">
      <formula>"Fail"</formula>
    </cfRule>
  </conditionalFormatting>
  <conditionalFormatting sqref="L24:L26">
    <cfRule type="cellIs" dxfId="159" priority="11" operator="equal">
      <formula>"Fail"</formula>
    </cfRule>
  </conditionalFormatting>
  <conditionalFormatting sqref="L18:L19">
    <cfRule type="cellIs" dxfId="158" priority="13" operator="equal">
      <formula>"Fail"</formula>
    </cfRule>
  </conditionalFormatting>
  <conditionalFormatting sqref="L10">
    <cfRule type="cellIs" dxfId="157" priority="15" operator="equal">
      <formula>"Fail"</formula>
    </cfRule>
  </conditionalFormatting>
  <conditionalFormatting sqref="L12:L16">
    <cfRule type="cellIs" dxfId="156" priority="14" operator="equal">
      <formula>"Fail"</formula>
    </cfRule>
  </conditionalFormatting>
  <conditionalFormatting sqref="L28">
    <cfRule type="cellIs" dxfId="155" priority="10" operator="equal">
      <formula>"Fail"</formula>
    </cfRule>
  </conditionalFormatting>
  <conditionalFormatting sqref="L29">
    <cfRule type="cellIs" dxfId="154" priority="9" operator="equal">
      <formula>"Fail"</formula>
    </cfRule>
  </conditionalFormatting>
  <conditionalFormatting sqref="L31:L35">
    <cfRule type="cellIs" dxfId="153" priority="8" operator="equal">
      <formula>"Fail"</formula>
    </cfRule>
  </conditionalFormatting>
  <conditionalFormatting sqref="L37">
    <cfRule type="cellIs" dxfId="152" priority="7" operator="equal">
      <formula>"Fail"</formula>
    </cfRule>
  </conditionalFormatting>
  <conditionalFormatting sqref="L38">
    <cfRule type="cellIs" dxfId="151" priority="6" operator="equal">
      <formula>"Fail"</formula>
    </cfRule>
  </conditionalFormatting>
  <conditionalFormatting sqref="L40">
    <cfRule type="cellIs" dxfId="150" priority="5" operator="equal">
      <formula>"Fail"</formula>
    </cfRule>
  </conditionalFormatting>
  <conditionalFormatting sqref="L43">
    <cfRule type="cellIs" dxfId="149" priority="4" operator="equal">
      <formula>"Fail"</formula>
    </cfRule>
  </conditionalFormatting>
  <conditionalFormatting sqref="L44">
    <cfRule type="cellIs" dxfId="148" priority="3" operator="equal">
      <formula>"Fail"</formula>
    </cfRule>
  </conditionalFormatting>
  <conditionalFormatting sqref="L45">
    <cfRule type="cellIs" dxfId="147" priority="2" operator="equal">
      <formula>"Fail"</formula>
    </cfRule>
  </conditionalFormatting>
  <conditionalFormatting sqref="L48:L50">
    <cfRule type="cellIs" dxfId="146" priority="1" operator="equal">
      <formula>"Fail"</formula>
    </cfRule>
  </conditionalFormatting>
  <dataValidations count="1">
    <dataValidation type="list" allowBlank="1" showInputMessage="1" showErrorMessage="1" sqref="L43:L45 L6:L8 L10 L12:L16 L18:L19 L21 L24:L26 L28:L29 L31:L35 L37:L38 L40 L48:L50">
      <formula1>"Pass,Fail,Not Apply,Block,Skip"</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topLeftCell="C1" workbookViewId="0">
      <selection activeCell="C6" sqref="A6:XFD8"/>
    </sheetView>
  </sheetViews>
  <sheetFormatPr defaultRowHeight="14.4" x14ac:dyDescent="0.25"/>
  <cols>
    <col min="2" max="2" width="23.21875" customWidth="1"/>
    <col min="3" max="3" width="19.77734375" customWidth="1"/>
    <col min="4" max="4" width="17.88671875" customWidth="1"/>
    <col min="5" max="5" width="7" customWidth="1"/>
    <col min="6" max="6" width="17" customWidth="1"/>
    <col min="7" max="7" width="21.109375" customWidth="1"/>
    <col min="8" max="8" width="11" customWidth="1"/>
    <col min="9" max="9" width="39.21875" customWidth="1"/>
    <col min="10" max="10" width="50.21875" customWidth="1"/>
    <col min="11" max="11" width="18.77734375" customWidth="1"/>
  </cols>
  <sheetData>
    <row r="1" spans="1:16" x14ac:dyDescent="0.25">
      <c r="A1" s="7"/>
      <c r="B1" s="8" t="s">
        <v>0</v>
      </c>
      <c r="C1" s="8" t="s">
        <v>1</v>
      </c>
      <c r="D1" s="7"/>
      <c r="E1" s="7"/>
      <c r="F1" s="7"/>
      <c r="G1" s="7"/>
      <c r="H1" s="7"/>
      <c r="I1" s="7"/>
      <c r="J1" s="7"/>
      <c r="K1" s="137"/>
      <c r="L1" s="7"/>
      <c r="M1" s="7"/>
      <c r="N1" s="7"/>
      <c r="O1" s="7"/>
      <c r="P1" s="7"/>
    </row>
    <row r="2" spans="1:16" x14ac:dyDescent="0.25">
      <c r="A2" s="144" t="s">
        <v>2</v>
      </c>
      <c r="B2" s="142" t="s">
        <v>3</v>
      </c>
      <c r="C2" s="144" t="s">
        <v>4</v>
      </c>
      <c r="D2" s="140"/>
      <c r="E2" s="140"/>
      <c r="F2" s="143"/>
      <c r="G2" s="142" t="s">
        <v>5</v>
      </c>
      <c r="H2" s="142" t="s">
        <v>6</v>
      </c>
      <c r="I2" s="142" t="s">
        <v>7</v>
      </c>
      <c r="J2" s="142" t="s">
        <v>8</v>
      </c>
      <c r="K2" s="142" t="s">
        <v>9</v>
      </c>
      <c r="L2" s="142" t="s">
        <v>10</v>
      </c>
      <c r="M2" s="142" t="s">
        <v>11</v>
      </c>
      <c r="N2" s="7"/>
      <c r="O2" s="7"/>
      <c r="P2" s="7"/>
    </row>
    <row r="3" spans="1:16" x14ac:dyDescent="0.25">
      <c r="A3" s="143"/>
      <c r="B3" s="143"/>
      <c r="C3" s="2" t="s">
        <v>12</v>
      </c>
      <c r="D3" s="2" t="s">
        <v>13</v>
      </c>
      <c r="E3" s="2" t="s">
        <v>14</v>
      </c>
      <c r="F3" s="2" t="s">
        <v>15</v>
      </c>
      <c r="G3" s="143"/>
      <c r="H3" s="143"/>
      <c r="I3" s="143"/>
      <c r="J3" s="143"/>
      <c r="K3" s="145"/>
      <c r="L3" s="143"/>
      <c r="M3" s="143"/>
      <c r="N3" s="7"/>
      <c r="O3" s="7"/>
      <c r="P3" s="7"/>
    </row>
    <row r="4" spans="1:16" x14ac:dyDescent="0.25">
      <c r="A4" s="139" t="s">
        <v>779</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48.6" customHeight="1" x14ac:dyDescent="0.25">
      <c r="A6" s="4">
        <v>1</v>
      </c>
      <c r="B6" s="5" t="s">
        <v>17</v>
      </c>
      <c r="C6" s="5" t="s">
        <v>152</v>
      </c>
      <c r="D6" s="5" t="s">
        <v>153</v>
      </c>
      <c r="E6" s="5" t="s">
        <v>20</v>
      </c>
      <c r="F6" s="5" t="s">
        <v>21</v>
      </c>
      <c r="G6" s="5" t="s">
        <v>22</v>
      </c>
      <c r="H6" s="5" t="s">
        <v>23</v>
      </c>
      <c r="I6" s="5" t="s">
        <v>781</v>
      </c>
      <c r="J6" s="5" t="s">
        <v>1850</v>
      </c>
      <c r="K6" s="138"/>
      <c r="L6" s="46"/>
      <c r="M6" s="5"/>
      <c r="N6" s="5"/>
      <c r="O6" s="5"/>
      <c r="P6" s="5"/>
    </row>
    <row r="7" spans="1:16" ht="94.8" customHeight="1" x14ac:dyDescent="0.25">
      <c r="A7" s="4">
        <v>2</v>
      </c>
      <c r="B7" s="5" t="s">
        <v>17</v>
      </c>
      <c r="C7" s="5" t="s">
        <v>154</v>
      </c>
      <c r="D7" s="5" t="s">
        <v>155</v>
      </c>
      <c r="E7" s="5" t="s">
        <v>20</v>
      </c>
      <c r="F7" s="5" t="s">
        <v>21</v>
      </c>
      <c r="G7" s="5" t="s">
        <v>22</v>
      </c>
      <c r="H7" s="5" t="s">
        <v>23</v>
      </c>
      <c r="I7" s="5" t="s">
        <v>1852</v>
      </c>
      <c r="J7" s="5" t="s">
        <v>1853</v>
      </c>
      <c r="K7" s="138"/>
      <c r="L7" s="46"/>
      <c r="M7" s="5"/>
      <c r="N7" s="5"/>
      <c r="O7" s="5"/>
      <c r="P7" s="5"/>
    </row>
    <row r="8" spans="1:16" ht="91.2" customHeight="1" x14ac:dyDescent="0.25">
      <c r="A8" s="4">
        <v>3</v>
      </c>
      <c r="B8" s="5" t="s">
        <v>17</v>
      </c>
      <c r="C8" s="5" t="s">
        <v>156</v>
      </c>
      <c r="D8" s="5" t="s">
        <v>157</v>
      </c>
      <c r="E8" s="5" t="s">
        <v>20</v>
      </c>
      <c r="F8" s="5" t="s">
        <v>21</v>
      </c>
      <c r="G8" s="5" t="s">
        <v>22</v>
      </c>
      <c r="H8" s="5" t="s">
        <v>23</v>
      </c>
      <c r="I8" s="5" t="s">
        <v>782</v>
      </c>
      <c r="J8" s="5" t="s">
        <v>1851</v>
      </c>
      <c r="K8" s="138"/>
      <c r="L8" s="46"/>
      <c r="M8" s="5"/>
      <c r="N8" s="5"/>
      <c r="O8" s="5"/>
      <c r="P8" s="5"/>
    </row>
  </sheetData>
  <mergeCells count="12">
    <mergeCell ref="L2:L3"/>
    <mergeCell ref="M2:M3"/>
    <mergeCell ref="A4:P4"/>
    <mergeCell ref="A5:P5"/>
    <mergeCell ref="A2:A3"/>
    <mergeCell ref="B2:B3"/>
    <mergeCell ref="C2:F2"/>
    <mergeCell ref="G2:G3"/>
    <mergeCell ref="H2:H3"/>
    <mergeCell ref="I2:I3"/>
    <mergeCell ref="J2:J3"/>
    <mergeCell ref="K2:K3"/>
  </mergeCells>
  <phoneticPr fontId="4" type="noConversion"/>
  <conditionalFormatting sqref="L6:L8">
    <cfRule type="cellIs" dxfId="145" priority="16" operator="equal">
      <formula>"Fail"</formula>
    </cfRule>
  </conditionalFormatting>
  <dataValidations count="1">
    <dataValidation type="list" allowBlank="1" showInputMessage="1" showErrorMessage="1" sqref="L6:L8">
      <formula1>"Pass,Fail,Not Apply,Block,Skip"</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election activeCell="D11" sqref="D11"/>
    </sheetView>
  </sheetViews>
  <sheetFormatPr defaultRowHeight="14.4" x14ac:dyDescent="0.25"/>
  <cols>
    <col min="1" max="1" width="12" customWidth="1"/>
    <col min="2" max="3" width="18" customWidth="1"/>
    <col min="4" max="4" width="25.21875" customWidth="1"/>
    <col min="5" max="5" width="8" customWidth="1"/>
    <col min="6" max="6" width="10" customWidth="1"/>
    <col min="7" max="7" width="16" customWidth="1"/>
    <col min="8" max="8" width="14" customWidth="1"/>
    <col min="9"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s="7" customFormat="1" ht="48.6" customHeight="1" x14ac:dyDescent="0.25">
      <c r="A4" s="4">
        <v>1</v>
      </c>
      <c r="B4" s="5" t="s">
        <v>17</v>
      </c>
      <c r="C4" s="5" t="s">
        <v>1863</v>
      </c>
      <c r="D4" s="5" t="s">
        <v>1860</v>
      </c>
      <c r="E4" s="5" t="s">
        <v>20</v>
      </c>
      <c r="F4" s="5" t="s">
        <v>21</v>
      </c>
      <c r="G4" s="5" t="s">
        <v>22</v>
      </c>
      <c r="H4" s="5" t="s">
        <v>23</v>
      </c>
      <c r="I4" s="5" t="s">
        <v>1855</v>
      </c>
      <c r="J4" s="5" t="s">
        <v>1854</v>
      </c>
      <c r="K4" s="138"/>
      <c r="L4" s="46" t="s">
        <v>673</v>
      </c>
      <c r="M4" s="5"/>
      <c r="N4" s="5"/>
      <c r="O4" s="5"/>
      <c r="P4" s="5"/>
    </row>
    <row r="5" spans="1:16" s="7" customFormat="1" ht="94.8" customHeight="1" x14ac:dyDescent="0.25">
      <c r="A5" s="4">
        <v>2</v>
      </c>
      <c r="B5" s="5" t="s">
        <v>17</v>
      </c>
      <c r="C5" s="5" t="s">
        <v>1864</v>
      </c>
      <c r="D5" s="5" t="s">
        <v>1861</v>
      </c>
      <c r="E5" s="5" t="s">
        <v>20</v>
      </c>
      <c r="F5" s="5" t="s">
        <v>21</v>
      </c>
      <c r="G5" s="5" t="s">
        <v>22</v>
      </c>
      <c r="H5" s="5" t="s">
        <v>23</v>
      </c>
      <c r="I5" s="5" t="s">
        <v>1857</v>
      </c>
      <c r="J5" s="5" t="s">
        <v>1856</v>
      </c>
      <c r="K5" s="138"/>
      <c r="L5" s="46" t="s">
        <v>673</v>
      </c>
      <c r="M5" s="5"/>
      <c r="N5" s="5"/>
      <c r="O5" s="5"/>
      <c r="P5" s="5"/>
    </row>
    <row r="6" spans="1:16" s="7" customFormat="1" ht="91.2" customHeight="1" x14ac:dyDescent="0.25">
      <c r="A6" s="4">
        <v>3</v>
      </c>
      <c r="B6" s="5" t="s">
        <v>17</v>
      </c>
      <c r="C6" s="5" t="s">
        <v>1865</v>
      </c>
      <c r="D6" s="5" t="s">
        <v>1862</v>
      </c>
      <c r="E6" s="5" t="s">
        <v>20</v>
      </c>
      <c r="F6" s="5" t="s">
        <v>21</v>
      </c>
      <c r="G6" s="5" t="s">
        <v>22</v>
      </c>
      <c r="H6" s="5" t="s">
        <v>23</v>
      </c>
      <c r="I6" s="5" t="s">
        <v>1858</v>
      </c>
      <c r="J6" s="5" t="s">
        <v>1859</v>
      </c>
      <c r="K6" s="138"/>
      <c r="L6" s="46" t="s">
        <v>673</v>
      </c>
      <c r="M6" s="5"/>
      <c r="N6" s="5"/>
      <c r="O6" s="5"/>
      <c r="P6" s="5"/>
    </row>
  </sheetData>
  <mergeCells count="10">
    <mergeCell ref="I2:I3"/>
    <mergeCell ref="K2:K3"/>
    <mergeCell ref="M2:M3"/>
    <mergeCell ref="B2:B3"/>
    <mergeCell ref="A2:A3"/>
    <mergeCell ref="C2:F2"/>
    <mergeCell ref="G2:G3"/>
    <mergeCell ref="J2:J3"/>
    <mergeCell ref="H2:H3"/>
    <mergeCell ref="L2:L3"/>
  </mergeCells>
  <phoneticPr fontId="4" type="noConversion"/>
  <conditionalFormatting sqref="L4:L6">
    <cfRule type="cellIs" dxfId="144" priority="2" operator="equal">
      <formula>"Fail"</formula>
    </cfRule>
  </conditionalFormatting>
  <dataValidations count="1">
    <dataValidation type="list" allowBlank="1" showInputMessage="1" showErrorMessage="1" sqref="L4:L6">
      <formula1>"Pass,Fail,Not Apply,Block,Skip"</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0"/>
  <sheetViews>
    <sheetView topLeftCell="C46" workbookViewId="0">
      <selection activeCell="L48" sqref="L48"/>
    </sheetView>
  </sheetViews>
  <sheetFormatPr defaultRowHeight="14.4" x14ac:dyDescent="0.25"/>
  <cols>
    <col min="1" max="1" width="12" customWidth="1"/>
    <col min="2" max="3" width="18" customWidth="1"/>
    <col min="4" max="4" width="31" customWidth="1"/>
    <col min="5" max="5" width="8" customWidth="1"/>
    <col min="6" max="6" width="10" customWidth="1"/>
    <col min="7" max="7" width="16" customWidth="1"/>
    <col min="8" max="8" width="14" customWidth="1"/>
    <col min="9" max="9" width="43.109375" customWidth="1"/>
    <col min="10"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1005</v>
      </c>
      <c r="B4" s="140"/>
      <c r="C4" s="140"/>
      <c r="D4" s="140"/>
      <c r="E4" s="140"/>
      <c r="F4" s="140"/>
      <c r="G4" s="140"/>
      <c r="H4" s="140"/>
      <c r="I4" s="140"/>
      <c r="J4" s="140"/>
      <c r="K4" s="140"/>
      <c r="L4" s="140"/>
      <c r="M4" s="140"/>
      <c r="N4" s="140"/>
      <c r="O4" s="140"/>
      <c r="P4" s="140"/>
    </row>
    <row r="5" spans="1:16" x14ac:dyDescent="0.25">
      <c r="A5" s="139" t="s">
        <v>991</v>
      </c>
      <c r="B5" s="140"/>
      <c r="C5" s="140"/>
      <c r="D5" s="140"/>
      <c r="E5" s="140"/>
      <c r="F5" s="140"/>
      <c r="G5" s="140"/>
      <c r="H5" s="140"/>
      <c r="I5" s="140"/>
      <c r="J5" s="140"/>
      <c r="K5" s="140"/>
      <c r="L5" s="140"/>
      <c r="M5" s="140"/>
      <c r="N5" s="140"/>
      <c r="O5" s="140"/>
      <c r="P5" s="140"/>
    </row>
    <row r="6" spans="1:16" ht="72" x14ac:dyDescent="0.25">
      <c r="A6" s="4">
        <v>1</v>
      </c>
      <c r="B6" s="5" t="s">
        <v>17</v>
      </c>
      <c r="C6" s="5" t="s">
        <v>207</v>
      </c>
      <c r="D6" s="5" t="s">
        <v>208</v>
      </c>
      <c r="E6" s="5" t="s">
        <v>20</v>
      </c>
      <c r="F6" s="5" t="s">
        <v>21</v>
      </c>
      <c r="G6" s="5" t="s">
        <v>22</v>
      </c>
      <c r="H6" s="5" t="s">
        <v>23</v>
      </c>
      <c r="I6" s="5" t="s">
        <v>945</v>
      </c>
      <c r="J6" s="5" t="s">
        <v>1510</v>
      </c>
      <c r="K6" s="5" t="s">
        <v>944</v>
      </c>
      <c r="L6" s="46" t="s">
        <v>672</v>
      </c>
      <c r="M6" s="5"/>
      <c r="N6" s="5"/>
      <c r="O6" s="5"/>
      <c r="P6" s="5"/>
    </row>
    <row r="7" spans="1:16" ht="58.8" customHeight="1" x14ac:dyDescent="0.25">
      <c r="A7" s="4">
        <v>2</v>
      </c>
      <c r="B7" s="5" t="s">
        <v>17</v>
      </c>
      <c r="C7" s="5" t="s">
        <v>209</v>
      </c>
      <c r="D7" s="5" t="s">
        <v>210</v>
      </c>
      <c r="E7" s="5" t="s">
        <v>20</v>
      </c>
      <c r="F7" s="5" t="s">
        <v>21</v>
      </c>
      <c r="G7" s="5" t="s">
        <v>22</v>
      </c>
      <c r="H7" s="5" t="s">
        <v>23</v>
      </c>
      <c r="I7" s="5" t="s">
        <v>946</v>
      </c>
      <c r="J7" s="5" t="s">
        <v>1511</v>
      </c>
      <c r="K7" s="5"/>
      <c r="L7" s="46" t="s">
        <v>672</v>
      </c>
      <c r="M7" s="5"/>
      <c r="N7" s="5"/>
      <c r="O7" s="5"/>
      <c r="P7" s="5"/>
    </row>
    <row r="8" spans="1:16" ht="68.400000000000006" customHeight="1" x14ac:dyDescent="0.25">
      <c r="A8" s="4">
        <v>3</v>
      </c>
      <c r="B8" s="5" t="s">
        <v>17</v>
      </c>
      <c r="C8" s="5" t="s">
        <v>211</v>
      </c>
      <c r="D8" s="5" t="s">
        <v>212</v>
      </c>
      <c r="E8" s="5" t="s">
        <v>20</v>
      </c>
      <c r="F8" s="5" t="s">
        <v>21</v>
      </c>
      <c r="G8" s="5" t="s">
        <v>22</v>
      </c>
      <c r="H8" s="5" t="s">
        <v>23</v>
      </c>
      <c r="I8" s="5" t="s">
        <v>947</v>
      </c>
      <c r="J8" s="5" t="s">
        <v>1512</v>
      </c>
      <c r="K8" s="5"/>
      <c r="L8" s="46" t="s">
        <v>672</v>
      </c>
      <c r="M8" s="5"/>
      <c r="N8" s="5"/>
      <c r="O8" s="5"/>
      <c r="P8" s="5"/>
    </row>
    <row r="9" spans="1:16" ht="62.4" customHeight="1" x14ac:dyDescent="0.25">
      <c r="A9" s="4">
        <v>4</v>
      </c>
      <c r="B9" s="5" t="s">
        <v>17</v>
      </c>
      <c r="C9" s="5" t="s">
        <v>213</v>
      </c>
      <c r="D9" s="5" t="s">
        <v>214</v>
      </c>
      <c r="E9" s="5" t="s">
        <v>20</v>
      </c>
      <c r="F9" s="5" t="s">
        <v>21</v>
      </c>
      <c r="G9" s="5" t="s">
        <v>22</v>
      </c>
      <c r="H9" s="5" t="s">
        <v>23</v>
      </c>
      <c r="I9" s="5" t="s">
        <v>948</v>
      </c>
      <c r="J9" s="5" t="s">
        <v>1513</v>
      </c>
      <c r="K9" s="5"/>
      <c r="L9" s="46" t="s">
        <v>672</v>
      </c>
      <c r="M9" s="5"/>
      <c r="N9" s="5"/>
      <c r="O9" s="5"/>
      <c r="P9" s="5"/>
    </row>
    <row r="10" spans="1:16" s="7" customFormat="1" ht="72" x14ac:dyDescent="0.25">
      <c r="A10" s="4">
        <v>1</v>
      </c>
      <c r="B10" s="5" t="s">
        <v>17</v>
      </c>
      <c r="C10" s="5" t="s">
        <v>215</v>
      </c>
      <c r="D10" s="5" t="s">
        <v>953</v>
      </c>
      <c r="E10" s="5" t="s">
        <v>20</v>
      </c>
      <c r="F10" s="5" t="s">
        <v>21</v>
      </c>
      <c r="G10" s="5" t="s">
        <v>22</v>
      </c>
      <c r="H10" s="5" t="s">
        <v>23</v>
      </c>
      <c r="I10" s="5" t="s">
        <v>949</v>
      </c>
      <c r="J10" s="5" t="s">
        <v>1545</v>
      </c>
      <c r="K10" s="5" t="s">
        <v>944</v>
      </c>
      <c r="L10" s="46" t="s">
        <v>672</v>
      </c>
      <c r="M10" s="5"/>
      <c r="N10" s="5"/>
      <c r="O10" s="5"/>
      <c r="P10" s="5"/>
    </row>
    <row r="11" spans="1:16" s="7" customFormat="1" ht="58.8" customHeight="1" x14ac:dyDescent="0.25">
      <c r="A11" s="4">
        <v>2</v>
      </c>
      <c r="B11" s="5" t="s">
        <v>17</v>
      </c>
      <c r="C11" s="5" t="s">
        <v>216</v>
      </c>
      <c r="D11" s="5" t="s">
        <v>954</v>
      </c>
      <c r="E11" s="5" t="s">
        <v>20</v>
      </c>
      <c r="F11" s="5" t="s">
        <v>21</v>
      </c>
      <c r="G11" s="5" t="s">
        <v>22</v>
      </c>
      <c r="H11" s="5" t="s">
        <v>23</v>
      </c>
      <c r="I11" s="5" t="s">
        <v>950</v>
      </c>
      <c r="J11" s="5" t="s">
        <v>1546</v>
      </c>
      <c r="K11" s="5"/>
      <c r="L11" s="46" t="s">
        <v>672</v>
      </c>
      <c r="M11" s="5"/>
      <c r="N11" s="5"/>
      <c r="O11" s="5"/>
      <c r="P11" s="5"/>
    </row>
    <row r="12" spans="1:16" s="7" customFormat="1" ht="68.400000000000006" customHeight="1" x14ac:dyDescent="0.25">
      <c r="A12" s="4">
        <v>3</v>
      </c>
      <c r="B12" s="5" t="s">
        <v>17</v>
      </c>
      <c r="C12" s="5" t="s">
        <v>217</v>
      </c>
      <c r="D12" s="5" t="s">
        <v>955</v>
      </c>
      <c r="E12" s="5" t="s">
        <v>20</v>
      </c>
      <c r="F12" s="5" t="s">
        <v>21</v>
      </c>
      <c r="G12" s="5" t="s">
        <v>22</v>
      </c>
      <c r="H12" s="5" t="s">
        <v>23</v>
      </c>
      <c r="I12" s="5" t="s">
        <v>951</v>
      </c>
      <c r="J12" s="5" t="s">
        <v>1547</v>
      </c>
      <c r="K12" s="5"/>
      <c r="L12" s="46" t="s">
        <v>672</v>
      </c>
      <c r="M12" s="5"/>
      <c r="N12" s="5"/>
      <c r="O12" s="5"/>
      <c r="P12" s="5"/>
    </row>
    <row r="13" spans="1:16" s="7" customFormat="1" ht="62.4" customHeight="1" x14ac:dyDescent="0.25">
      <c r="A13" s="4">
        <v>4</v>
      </c>
      <c r="B13" s="5" t="s">
        <v>17</v>
      </c>
      <c r="C13" s="5" t="s">
        <v>218</v>
      </c>
      <c r="D13" s="5" t="s">
        <v>956</v>
      </c>
      <c r="E13" s="5" t="s">
        <v>20</v>
      </c>
      <c r="F13" s="5" t="s">
        <v>21</v>
      </c>
      <c r="G13" s="5" t="s">
        <v>22</v>
      </c>
      <c r="H13" s="5" t="s">
        <v>23</v>
      </c>
      <c r="I13" s="5" t="s">
        <v>952</v>
      </c>
      <c r="J13" s="5" t="s">
        <v>1548</v>
      </c>
      <c r="K13" s="5"/>
      <c r="L13" s="46" t="s">
        <v>672</v>
      </c>
      <c r="M13" s="5"/>
      <c r="N13" s="5"/>
      <c r="O13" s="5"/>
      <c r="P13" s="5"/>
    </row>
    <row r="14" spans="1:16" s="7" customFormat="1" ht="72" x14ac:dyDescent="0.25">
      <c r="A14" s="4">
        <v>1</v>
      </c>
      <c r="B14" s="5" t="s">
        <v>17</v>
      </c>
      <c r="C14" s="5" t="s">
        <v>220</v>
      </c>
      <c r="D14" s="5" t="s">
        <v>957</v>
      </c>
      <c r="E14" s="5" t="s">
        <v>20</v>
      </c>
      <c r="F14" s="5" t="s">
        <v>21</v>
      </c>
      <c r="G14" s="5" t="s">
        <v>22</v>
      </c>
      <c r="H14" s="5" t="s">
        <v>23</v>
      </c>
      <c r="I14" s="5" t="s">
        <v>961</v>
      </c>
      <c r="J14" s="5" t="s">
        <v>1549</v>
      </c>
      <c r="K14" s="5" t="s">
        <v>944</v>
      </c>
      <c r="L14" s="46" t="s">
        <v>672</v>
      </c>
      <c r="M14" s="5"/>
      <c r="N14" s="5"/>
      <c r="O14" s="5"/>
      <c r="P14" s="5"/>
    </row>
    <row r="15" spans="1:16" s="7" customFormat="1" ht="58.8" customHeight="1" x14ac:dyDescent="0.25">
      <c r="A15" s="4">
        <v>2</v>
      </c>
      <c r="B15" s="5" t="s">
        <v>17</v>
      </c>
      <c r="C15" s="5" t="s">
        <v>221</v>
      </c>
      <c r="D15" s="5" t="s">
        <v>958</v>
      </c>
      <c r="E15" s="5" t="s">
        <v>20</v>
      </c>
      <c r="F15" s="5" t="s">
        <v>21</v>
      </c>
      <c r="G15" s="5" t="s">
        <v>22</v>
      </c>
      <c r="H15" s="5" t="s">
        <v>23</v>
      </c>
      <c r="I15" s="5" t="s">
        <v>962</v>
      </c>
      <c r="J15" s="5" t="s">
        <v>1550</v>
      </c>
      <c r="K15" s="5"/>
      <c r="L15" s="46" t="s">
        <v>672</v>
      </c>
      <c r="M15" s="5"/>
      <c r="N15" s="5"/>
      <c r="O15" s="5"/>
      <c r="P15" s="5"/>
    </row>
    <row r="16" spans="1:16" s="7" customFormat="1" ht="68.400000000000006" customHeight="1" x14ac:dyDescent="0.25">
      <c r="A16" s="4">
        <v>3</v>
      </c>
      <c r="B16" s="5" t="s">
        <v>17</v>
      </c>
      <c r="C16" s="5" t="s">
        <v>222</v>
      </c>
      <c r="D16" s="5" t="s">
        <v>959</v>
      </c>
      <c r="E16" s="5" t="s">
        <v>20</v>
      </c>
      <c r="F16" s="5" t="s">
        <v>21</v>
      </c>
      <c r="G16" s="5" t="s">
        <v>22</v>
      </c>
      <c r="H16" s="5" t="s">
        <v>23</v>
      </c>
      <c r="I16" s="5" t="s">
        <v>963</v>
      </c>
      <c r="J16" s="5" t="s">
        <v>1551</v>
      </c>
      <c r="K16" s="5"/>
      <c r="L16" s="46" t="s">
        <v>672</v>
      </c>
      <c r="M16" s="5"/>
      <c r="N16" s="5"/>
      <c r="O16" s="5"/>
      <c r="P16" s="5"/>
    </row>
    <row r="17" spans="1:16" s="7" customFormat="1" ht="62.4" customHeight="1" x14ac:dyDescent="0.25">
      <c r="A17" s="4">
        <v>4</v>
      </c>
      <c r="B17" s="5" t="s">
        <v>17</v>
      </c>
      <c r="C17" s="5" t="s">
        <v>223</v>
      </c>
      <c r="D17" s="5" t="s">
        <v>960</v>
      </c>
      <c r="E17" s="5" t="s">
        <v>20</v>
      </c>
      <c r="F17" s="5" t="s">
        <v>21</v>
      </c>
      <c r="G17" s="5" t="s">
        <v>22</v>
      </c>
      <c r="H17" s="5" t="s">
        <v>23</v>
      </c>
      <c r="I17" s="5" t="s">
        <v>964</v>
      </c>
      <c r="J17" s="5" t="s">
        <v>1552</v>
      </c>
      <c r="K17" s="5"/>
      <c r="L17" s="46" t="s">
        <v>672</v>
      </c>
      <c r="M17" s="5"/>
      <c r="N17" s="5"/>
      <c r="O17" s="5"/>
      <c r="P17" s="5"/>
    </row>
    <row r="18" spans="1:16" s="7" customFormat="1" x14ac:dyDescent="0.25">
      <c r="A18" s="139" t="s">
        <v>965</v>
      </c>
      <c r="B18" s="140"/>
      <c r="C18" s="140"/>
      <c r="D18" s="140"/>
      <c r="E18" s="140"/>
      <c r="F18" s="140"/>
      <c r="G18" s="140"/>
      <c r="H18" s="140"/>
      <c r="I18" s="140"/>
      <c r="J18" s="140"/>
      <c r="K18" s="140"/>
      <c r="L18" s="140"/>
      <c r="M18" s="140"/>
      <c r="N18" s="140"/>
      <c r="O18" s="140"/>
      <c r="P18" s="140"/>
    </row>
    <row r="19" spans="1:16" s="7" customFormat="1" ht="72" x14ac:dyDescent="0.25">
      <c r="A19" s="4">
        <v>1</v>
      </c>
      <c r="B19" s="5" t="s">
        <v>17</v>
      </c>
      <c r="C19" s="5" t="s">
        <v>1006</v>
      </c>
      <c r="D19" s="5" t="s">
        <v>208</v>
      </c>
      <c r="E19" s="5" t="s">
        <v>20</v>
      </c>
      <c r="F19" s="5" t="s">
        <v>21</v>
      </c>
      <c r="G19" s="5" t="s">
        <v>22</v>
      </c>
      <c r="H19" s="5" t="s">
        <v>23</v>
      </c>
      <c r="I19" s="5" t="s">
        <v>967</v>
      </c>
      <c r="J19" s="5" t="s">
        <v>1514</v>
      </c>
      <c r="K19" s="5" t="s">
        <v>944</v>
      </c>
      <c r="L19" s="46" t="s">
        <v>672</v>
      </c>
      <c r="M19" s="5"/>
      <c r="N19" s="5"/>
      <c r="O19" s="5"/>
      <c r="P19" s="5"/>
    </row>
    <row r="20" spans="1:16" s="7" customFormat="1" ht="58.8" customHeight="1" x14ac:dyDescent="0.25">
      <c r="A20" s="4">
        <v>2</v>
      </c>
      <c r="B20" s="5" t="s">
        <v>17</v>
      </c>
      <c r="C20" s="5" t="s">
        <v>1007</v>
      </c>
      <c r="D20" s="5" t="s">
        <v>210</v>
      </c>
      <c r="E20" s="5" t="s">
        <v>20</v>
      </c>
      <c r="F20" s="5" t="s">
        <v>21</v>
      </c>
      <c r="G20" s="5" t="s">
        <v>22</v>
      </c>
      <c r="H20" s="5" t="s">
        <v>23</v>
      </c>
      <c r="I20" s="5" t="s">
        <v>968</v>
      </c>
      <c r="J20" s="5" t="s">
        <v>1515</v>
      </c>
      <c r="K20" s="5"/>
      <c r="L20" s="46" t="s">
        <v>672</v>
      </c>
      <c r="M20" s="5"/>
      <c r="N20" s="5"/>
      <c r="O20" s="5"/>
      <c r="P20" s="5"/>
    </row>
    <row r="21" spans="1:16" s="7" customFormat="1" ht="68.400000000000006" customHeight="1" x14ac:dyDescent="0.25">
      <c r="A21" s="4">
        <v>3</v>
      </c>
      <c r="B21" s="5" t="s">
        <v>17</v>
      </c>
      <c r="C21" s="5" t="s">
        <v>1008</v>
      </c>
      <c r="D21" s="5" t="s">
        <v>212</v>
      </c>
      <c r="E21" s="5" t="s">
        <v>20</v>
      </c>
      <c r="F21" s="5" t="s">
        <v>21</v>
      </c>
      <c r="G21" s="5" t="s">
        <v>22</v>
      </c>
      <c r="H21" s="5" t="s">
        <v>23</v>
      </c>
      <c r="I21" s="5" t="s">
        <v>969</v>
      </c>
      <c r="J21" s="5" t="s">
        <v>1516</v>
      </c>
      <c r="K21" s="5"/>
      <c r="L21" s="46" t="s">
        <v>672</v>
      </c>
      <c r="M21" s="5"/>
      <c r="N21" s="5"/>
      <c r="O21" s="5"/>
      <c r="P21" s="5"/>
    </row>
    <row r="22" spans="1:16" s="7" customFormat="1" ht="62.4" customHeight="1" x14ac:dyDescent="0.25">
      <c r="A22" s="4">
        <v>4</v>
      </c>
      <c r="B22" s="5" t="s">
        <v>17</v>
      </c>
      <c r="C22" s="5" t="s">
        <v>1009</v>
      </c>
      <c r="D22" s="5" t="s">
        <v>214</v>
      </c>
      <c r="E22" s="5" t="s">
        <v>20</v>
      </c>
      <c r="F22" s="5" t="s">
        <v>21</v>
      </c>
      <c r="G22" s="5" t="s">
        <v>22</v>
      </c>
      <c r="H22" s="5" t="s">
        <v>23</v>
      </c>
      <c r="I22" s="5" t="s">
        <v>970</v>
      </c>
      <c r="J22" s="5" t="s">
        <v>1514</v>
      </c>
      <c r="K22" s="5"/>
      <c r="L22" s="46" t="s">
        <v>672</v>
      </c>
      <c r="M22" s="5"/>
      <c r="N22" s="5"/>
      <c r="O22" s="5"/>
      <c r="P22" s="5"/>
    </row>
    <row r="23" spans="1:16" s="7" customFormat="1" ht="72" x14ac:dyDescent="0.25">
      <c r="A23" s="4">
        <v>1</v>
      </c>
      <c r="B23" s="5" t="s">
        <v>17</v>
      </c>
      <c r="C23" s="5" t="s">
        <v>1010</v>
      </c>
      <c r="D23" s="5" t="s">
        <v>953</v>
      </c>
      <c r="E23" s="5" t="s">
        <v>20</v>
      </c>
      <c r="F23" s="5" t="s">
        <v>21</v>
      </c>
      <c r="G23" s="5" t="s">
        <v>22</v>
      </c>
      <c r="H23" s="5" t="s">
        <v>23</v>
      </c>
      <c r="I23" s="5" t="s">
        <v>971</v>
      </c>
      <c r="J23" s="5" t="s">
        <v>1553</v>
      </c>
      <c r="K23" s="5" t="s">
        <v>944</v>
      </c>
      <c r="L23" s="46" t="s">
        <v>672</v>
      </c>
      <c r="M23" s="5"/>
      <c r="N23" s="5"/>
      <c r="O23" s="5"/>
      <c r="P23" s="5"/>
    </row>
    <row r="24" spans="1:16" s="7" customFormat="1" ht="58.8" customHeight="1" x14ac:dyDescent="0.25">
      <c r="A24" s="4">
        <v>2</v>
      </c>
      <c r="B24" s="5" t="s">
        <v>17</v>
      </c>
      <c r="C24" s="5" t="s">
        <v>1011</v>
      </c>
      <c r="D24" s="5" t="s">
        <v>954</v>
      </c>
      <c r="E24" s="5" t="s">
        <v>20</v>
      </c>
      <c r="F24" s="5" t="s">
        <v>21</v>
      </c>
      <c r="G24" s="5" t="s">
        <v>22</v>
      </c>
      <c r="H24" s="5" t="s">
        <v>23</v>
      </c>
      <c r="I24" s="5" t="s">
        <v>972</v>
      </c>
      <c r="J24" s="5" t="s">
        <v>1554</v>
      </c>
      <c r="K24" s="5"/>
      <c r="L24" s="46" t="s">
        <v>672</v>
      </c>
      <c r="M24" s="5"/>
      <c r="N24" s="5"/>
      <c r="O24" s="5"/>
      <c r="P24" s="5"/>
    </row>
    <row r="25" spans="1:16" s="7" customFormat="1" ht="68.400000000000006" customHeight="1" x14ac:dyDescent="0.25">
      <c r="A25" s="4">
        <v>3</v>
      </c>
      <c r="B25" s="5" t="s">
        <v>17</v>
      </c>
      <c r="C25" s="5" t="s">
        <v>1012</v>
      </c>
      <c r="D25" s="5" t="s">
        <v>955</v>
      </c>
      <c r="E25" s="5" t="s">
        <v>20</v>
      </c>
      <c r="F25" s="5" t="s">
        <v>21</v>
      </c>
      <c r="G25" s="5" t="s">
        <v>22</v>
      </c>
      <c r="H25" s="5" t="s">
        <v>23</v>
      </c>
      <c r="I25" s="5" t="s">
        <v>973</v>
      </c>
      <c r="J25" s="5" t="s">
        <v>1555</v>
      </c>
      <c r="K25" s="5"/>
      <c r="L25" s="46" t="s">
        <v>672</v>
      </c>
      <c r="M25" s="5"/>
      <c r="N25" s="5"/>
      <c r="O25" s="5"/>
      <c r="P25" s="5"/>
    </row>
    <row r="26" spans="1:16" s="7" customFormat="1" ht="62.4" customHeight="1" x14ac:dyDescent="0.25">
      <c r="A26" s="4">
        <v>4</v>
      </c>
      <c r="B26" s="5" t="s">
        <v>17</v>
      </c>
      <c r="C26" s="5" t="s">
        <v>1013</v>
      </c>
      <c r="D26" s="5" t="s">
        <v>956</v>
      </c>
      <c r="E26" s="5" t="s">
        <v>20</v>
      </c>
      <c r="F26" s="5" t="s">
        <v>21</v>
      </c>
      <c r="G26" s="5" t="s">
        <v>22</v>
      </c>
      <c r="H26" s="5" t="s">
        <v>23</v>
      </c>
      <c r="I26" s="5" t="s">
        <v>974</v>
      </c>
      <c r="J26" s="5" t="s">
        <v>1553</v>
      </c>
      <c r="K26" s="5"/>
      <c r="L26" s="46" t="s">
        <v>672</v>
      </c>
      <c r="M26" s="5"/>
      <c r="N26" s="5"/>
      <c r="O26" s="5"/>
      <c r="P26" s="5"/>
    </row>
    <row r="27" spans="1:16" s="7" customFormat="1" ht="72" x14ac:dyDescent="0.25">
      <c r="A27" s="4">
        <v>1</v>
      </c>
      <c r="B27" s="5" t="s">
        <v>17</v>
      </c>
      <c r="C27" s="5" t="s">
        <v>1014</v>
      </c>
      <c r="D27" s="5" t="s">
        <v>957</v>
      </c>
      <c r="E27" s="5" t="s">
        <v>20</v>
      </c>
      <c r="F27" s="5" t="s">
        <v>21</v>
      </c>
      <c r="G27" s="5" t="s">
        <v>22</v>
      </c>
      <c r="H27" s="5" t="s">
        <v>23</v>
      </c>
      <c r="I27" s="5" t="s">
        <v>975</v>
      </c>
      <c r="J27" s="5" t="s">
        <v>1556</v>
      </c>
      <c r="K27" s="5" t="s">
        <v>944</v>
      </c>
      <c r="L27" s="46" t="s">
        <v>672</v>
      </c>
      <c r="M27" s="5"/>
      <c r="N27" s="5"/>
      <c r="O27" s="5"/>
      <c r="P27" s="5"/>
    </row>
    <row r="28" spans="1:16" s="7" customFormat="1" ht="58.8" customHeight="1" x14ac:dyDescent="0.25">
      <c r="A28" s="4">
        <v>2</v>
      </c>
      <c r="B28" s="5" t="s">
        <v>17</v>
      </c>
      <c r="C28" s="5" t="s">
        <v>1015</v>
      </c>
      <c r="D28" s="5" t="s">
        <v>958</v>
      </c>
      <c r="E28" s="5" t="s">
        <v>20</v>
      </c>
      <c r="F28" s="5" t="s">
        <v>21</v>
      </c>
      <c r="G28" s="5" t="s">
        <v>22</v>
      </c>
      <c r="H28" s="5" t="s">
        <v>23</v>
      </c>
      <c r="I28" s="5" t="s">
        <v>976</v>
      </c>
      <c r="J28" s="5" t="s">
        <v>1557</v>
      </c>
      <c r="K28" s="5"/>
      <c r="L28" s="46" t="s">
        <v>672</v>
      </c>
      <c r="M28" s="5"/>
      <c r="N28" s="5"/>
      <c r="O28" s="5"/>
      <c r="P28" s="5"/>
    </row>
    <row r="29" spans="1:16" s="7" customFormat="1" ht="68.400000000000006" customHeight="1" x14ac:dyDescent="0.25">
      <c r="A29" s="4">
        <v>3</v>
      </c>
      <c r="B29" s="5" t="s">
        <v>17</v>
      </c>
      <c r="C29" s="5" t="s">
        <v>1016</v>
      </c>
      <c r="D29" s="5" t="s">
        <v>959</v>
      </c>
      <c r="E29" s="5" t="s">
        <v>20</v>
      </c>
      <c r="F29" s="5" t="s">
        <v>21</v>
      </c>
      <c r="G29" s="5" t="s">
        <v>22</v>
      </c>
      <c r="H29" s="5" t="s">
        <v>23</v>
      </c>
      <c r="I29" s="5" t="s">
        <v>977</v>
      </c>
      <c r="J29" s="5" t="s">
        <v>1558</v>
      </c>
      <c r="K29" s="5"/>
      <c r="L29" s="46" t="s">
        <v>672</v>
      </c>
      <c r="M29" s="5"/>
      <c r="N29" s="5"/>
      <c r="O29" s="5"/>
      <c r="P29" s="5"/>
    </row>
    <row r="30" spans="1:16" s="7" customFormat="1" ht="62.4" customHeight="1" x14ac:dyDescent="0.25">
      <c r="A30" s="4">
        <v>4</v>
      </c>
      <c r="B30" s="5" t="s">
        <v>17</v>
      </c>
      <c r="C30" s="5" t="s">
        <v>1017</v>
      </c>
      <c r="D30" s="5" t="s">
        <v>960</v>
      </c>
      <c r="E30" s="5" t="s">
        <v>20</v>
      </c>
      <c r="F30" s="5" t="s">
        <v>21</v>
      </c>
      <c r="G30" s="5" t="s">
        <v>22</v>
      </c>
      <c r="H30" s="5" t="s">
        <v>23</v>
      </c>
      <c r="I30" s="5" t="s">
        <v>980</v>
      </c>
      <c r="J30" s="5" t="s">
        <v>1556</v>
      </c>
      <c r="K30" s="5"/>
      <c r="L30" s="46" t="s">
        <v>672</v>
      </c>
      <c r="M30" s="5"/>
      <c r="N30" s="5"/>
      <c r="O30" s="5"/>
      <c r="P30" s="5"/>
    </row>
    <row r="31" spans="1:16" s="7" customFormat="1" ht="35.4" customHeight="1" x14ac:dyDescent="0.25">
      <c r="A31" s="139" t="s">
        <v>979</v>
      </c>
      <c r="B31" s="140"/>
      <c r="C31" s="140"/>
      <c r="D31" s="140"/>
      <c r="E31" s="140"/>
      <c r="F31" s="140"/>
      <c r="G31" s="140"/>
      <c r="H31" s="140"/>
      <c r="I31" s="140"/>
      <c r="J31" s="140"/>
      <c r="K31" s="140"/>
      <c r="L31" s="140"/>
      <c r="M31" s="140"/>
      <c r="N31" s="140"/>
      <c r="O31" s="140"/>
      <c r="P31" s="140"/>
    </row>
    <row r="32" spans="1:16" s="7" customFormat="1" ht="35.4" customHeight="1" x14ac:dyDescent="0.25">
      <c r="A32" s="6"/>
      <c r="B32" s="51" t="s">
        <v>981</v>
      </c>
      <c r="C32" s="5" t="s">
        <v>1018</v>
      </c>
      <c r="D32" s="53" t="s">
        <v>987</v>
      </c>
      <c r="E32" s="54" t="s">
        <v>55</v>
      </c>
      <c r="F32" s="5" t="s">
        <v>21</v>
      </c>
      <c r="G32" s="5" t="s">
        <v>22</v>
      </c>
      <c r="H32" s="55" t="s">
        <v>983</v>
      </c>
      <c r="I32" s="51" t="s">
        <v>985</v>
      </c>
      <c r="J32" s="52" t="s">
        <v>989</v>
      </c>
      <c r="K32" s="5"/>
      <c r="L32" s="46" t="s">
        <v>672</v>
      </c>
      <c r="M32" s="5"/>
      <c r="N32" s="5"/>
      <c r="O32" s="5"/>
      <c r="P32" s="5"/>
    </row>
    <row r="33" spans="1:16" s="7" customFormat="1" ht="62.4" customHeight="1" x14ac:dyDescent="0.25">
      <c r="A33" s="4"/>
      <c r="B33" s="51" t="s">
        <v>981</v>
      </c>
      <c r="C33" s="5" t="s">
        <v>1019</v>
      </c>
      <c r="D33" s="53" t="s">
        <v>984</v>
      </c>
      <c r="E33" s="54" t="s">
        <v>55</v>
      </c>
      <c r="F33" s="5" t="s">
        <v>21</v>
      </c>
      <c r="G33" s="5" t="s">
        <v>22</v>
      </c>
      <c r="H33" s="55" t="s">
        <v>983</v>
      </c>
      <c r="I33" s="51" t="s">
        <v>988</v>
      </c>
      <c r="J33" s="52" t="s">
        <v>986</v>
      </c>
      <c r="K33" s="5"/>
      <c r="L33" s="46" t="s">
        <v>672</v>
      </c>
      <c r="M33" s="5"/>
      <c r="N33" s="5"/>
      <c r="O33" s="5"/>
      <c r="P33" s="5"/>
    </row>
    <row r="34" spans="1:16" x14ac:dyDescent="0.25">
      <c r="A34" s="139" t="s">
        <v>219</v>
      </c>
      <c r="B34" s="140"/>
      <c r="C34" s="140"/>
      <c r="D34" s="140"/>
      <c r="E34" s="140"/>
      <c r="F34" s="140"/>
      <c r="G34" s="140"/>
      <c r="H34" s="140"/>
      <c r="I34" s="140"/>
      <c r="J34" s="140"/>
      <c r="K34" s="140"/>
      <c r="L34" s="140"/>
      <c r="M34" s="140"/>
      <c r="N34" s="140"/>
      <c r="O34" s="140"/>
      <c r="P34" s="140"/>
    </row>
    <row r="35" spans="1:16" s="7" customFormat="1" ht="72" x14ac:dyDescent="0.25">
      <c r="A35" s="4">
        <v>1</v>
      </c>
      <c r="B35" s="5" t="s">
        <v>17</v>
      </c>
      <c r="C35" s="5" t="s">
        <v>1020</v>
      </c>
      <c r="D35" s="5" t="s">
        <v>990</v>
      </c>
      <c r="E35" s="5" t="s">
        <v>20</v>
      </c>
      <c r="F35" s="5" t="s">
        <v>21</v>
      </c>
      <c r="G35" s="5" t="s">
        <v>22</v>
      </c>
      <c r="H35" s="5" t="s">
        <v>23</v>
      </c>
      <c r="I35" s="5" t="s">
        <v>945</v>
      </c>
      <c r="J35" s="5" t="s">
        <v>1510</v>
      </c>
      <c r="K35" s="5" t="s">
        <v>944</v>
      </c>
      <c r="L35" s="46" t="s">
        <v>672</v>
      </c>
      <c r="M35" s="5"/>
      <c r="N35" s="5"/>
      <c r="O35" s="5"/>
      <c r="P35" s="5"/>
    </row>
    <row r="36" spans="1:16" s="7" customFormat="1" ht="58.8" customHeight="1" x14ac:dyDescent="0.25">
      <c r="A36" s="4">
        <v>2</v>
      </c>
      <c r="B36" s="5" t="s">
        <v>17</v>
      </c>
      <c r="C36" s="5" t="s">
        <v>225</v>
      </c>
      <c r="D36" s="5" t="s">
        <v>210</v>
      </c>
      <c r="E36" s="5" t="s">
        <v>20</v>
      </c>
      <c r="F36" s="5" t="s">
        <v>21</v>
      </c>
      <c r="G36" s="5" t="s">
        <v>22</v>
      </c>
      <c r="H36" s="5" t="s">
        <v>23</v>
      </c>
      <c r="I36" s="5" t="s">
        <v>946</v>
      </c>
      <c r="J36" s="5" t="s">
        <v>1511</v>
      </c>
      <c r="K36" s="5"/>
      <c r="L36" s="46" t="s">
        <v>672</v>
      </c>
      <c r="M36" s="5"/>
      <c r="N36" s="5"/>
      <c r="O36" s="5"/>
      <c r="P36" s="5"/>
    </row>
    <row r="37" spans="1:16" s="7" customFormat="1" ht="68.400000000000006" customHeight="1" x14ac:dyDescent="0.25">
      <c r="A37" s="4">
        <v>3</v>
      </c>
      <c r="B37" s="5" t="s">
        <v>17</v>
      </c>
      <c r="C37" s="5" t="s">
        <v>226</v>
      </c>
      <c r="D37" s="5" t="s">
        <v>212</v>
      </c>
      <c r="E37" s="5" t="s">
        <v>20</v>
      </c>
      <c r="F37" s="5" t="s">
        <v>21</v>
      </c>
      <c r="G37" s="5" t="s">
        <v>22</v>
      </c>
      <c r="H37" s="5" t="s">
        <v>23</v>
      </c>
      <c r="I37" s="5" t="s">
        <v>947</v>
      </c>
      <c r="J37" s="5" t="s">
        <v>1512</v>
      </c>
      <c r="K37" s="5"/>
      <c r="L37" s="46" t="s">
        <v>672</v>
      </c>
      <c r="M37" s="5"/>
      <c r="N37" s="5"/>
      <c r="O37" s="5"/>
      <c r="P37" s="5"/>
    </row>
    <row r="38" spans="1:16" s="7" customFormat="1" ht="62.4" customHeight="1" x14ac:dyDescent="0.25">
      <c r="A38" s="4">
        <v>4</v>
      </c>
      <c r="B38" s="5" t="s">
        <v>17</v>
      </c>
      <c r="C38" s="5" t="s">
        <v>228</v>
      </c>
      <c r="D38" s="5" t="s">
        <v>214</v>
      </c>
      <c r="E38" s="5" t="s">
        <v>20</v>
      </c>
      <c r="F38" s="5" t="s">
        <v>21</v>
      </c>
      <c r="G38" s="5" t="s">
        <v>22</v>
      </c>
      <c r="H38" s="5" t="s">
        <v>23</v>
      </c>
      <c r="I38" s="5" t="s">
        <v>948</v>
      </c>
      <c r="J38" s="5" t="s">
        <v>1513</v>
      </c>
      <c r="K38" s="5"/>
      <c r="L38" s="46" t="s">
        <v>672</v>
      </c>
      <c r="M38" s="5"/>
      <c r="N38" s="5"/>
      <c r="O38" s="5"/>
      <c r="P38" s="5"/>
    </row>
    <row r="39" spans="1:16" s="7" customFormat="1" ht="72" x14ac:dyDescent="0.25">
      <c r="A39" s="4">
        <v>1</v>
      </c>
      <c r="B39" s="5" t="s">
        <v>17</v>
      </c>
      <c r="C39" s="5" t="s">
        <v>229</v>
      </c>
      <c r="D39" s="5" t="s">
        <v>953</v>
      </c>
      <c r="E39" s="5" t="s">
        <v>20</v>
      </c>
      <c r="F39" s="5" t="s">
        <v>21</v>
      </c>
      <c r="G39" s="5" t="s">
        <v>22</v>
      </c>
      <c r="H39" s="5" t="s">
        <v>23</v>
      </c>
      <c r="I39" s="5" t="s">
        <v>949</v>
      </c>
      <c r="J39" s="5" t="s">
        <v>1545</v>
      </c>
      <c r="K39" s="5" t="s">
        <v>944</v>
      </c>
      <c r="L39" s="46" t="s">
        <v>672</v>
      </c>
      <c r="M39" s="5"/>
      <c r="N39" s="5"/>
      <c r="O39" s="5"/>
      <c r="P39" s="5"/>
    </row>
    <row r="40" spans="1:16" s="7" customFormat="1" ht="58.8" customHeight="1" x14ac:dyDescent="0.25">
      <c r="A40" s="4">
        <v>2</v>
      </c>
      <c r="B40" s="5" t="s">
        <v>17</v>
      </c>
      <c r="C40" s="5" t="s">
        <v>230</v>
      </c>
      <c r="D40" s="5" t="s">
        <v>954</v>
      </c>
      <c r="E40" s="5" t="s">
        <v>20</v>
      </c>
      <c r="F40" s="5" t="s">
        <v>21</v>
      </c>
      <c r="G40" s="5" t="s">
        <v>22</v>
      </c>
      <c r="H40" s="5" t="s">
        <v>23</v>
      </c>
      <c r="I40" s="5" t="s">
        <v>950</v>
      </c>
      <c r="J40" s="5" t="s">
        <v>1546</v>
      </c>
      <c r="K40" s="5"/>
      <c r="L40" s="46" t="s">
        <v>672</v>
      </c>
      <c r="M40" s="5"/>
      <c r="N40" s="5"/>
      <c r="O40" s="5"/>
      <c r="P40" s="5"/>
    </row>
    <row r="41" spans="1:16" s="7" customFormat="1" ht="68.400000000000006" customHeight="1" x14ac:dyDescent="0.25">
      <c r="A41" s="4">
        <v>3</v>
      </c>
      <c r="B41" s="5" t="s">
        <v>17</v>
      </c>
      <c r="C41" s="5" t="s">
        <v>1021</v>
      </c>
      <c r="D41" s="5" t="s">
        <v>955</v>
      </c>
      <c r="E41" s="5" t="s">
        <v>20</v>
      </c>
      <c r="F41" s="5" t="s">
        <v>21</v>
      </c>
      <c r="G41" s="5" t="s">
        <v>22</v>
      </c>
      <c r="H41" s="5" t="s">
        <v>23</v>
      </c>
      <c r="I41" s="5" t="s">
        <v>951</v>
      </c>
      <c r="J41" s="5" t="s">
        <v>1547</v>
      </c>
      <c r="K41" s="5"/>
      <c r="L41" s="46" t="s">
        <v>672</v>
      </c>
      <c r="M41" s="5"/>
      <c r="N41" s="5"/>
      <c r="O41" s="5"/>
      <c r="P41" s="5"/>
    </row>
    <row r="42" spans="1:16" s="7" customFormat="1" ht="62.4" customHeight="1" x14ac:dyDescent="0.25">
      <c r="A42" s="4">
        <v>4</v>
      </c>
      <c r="B42" s="5" t="s">
        <v>17</v>
      </c>
      <c r="C42" s="5" t="s">
        <v>1022</v>
      </c>
      <c r="D42" s="5" t="s">
        <v>956</v>
      </c>
      <c r="E42" s="5" t="s">
        <v>20</v>
      </c>
      <c r="F42" s="5" t="s">
        <v>21</v>
      </c>
      <c r="G42" s="5" t="s">
        <v>22</v>
      </c>
      <c r="H42" s="5" t="s">
        <v>23</v>
      </c>
      <c r="I42" s="5" t="s">
        <v>952</v>
      </c>
      <c r="J42" s="5" t="s">
        <v>1548</v>
      </c>
      <c r="K42" s="5"/>
      <c r="L42" s="46" t="s">
        <v>672</v>
      </c>
      <c r="M42" s="5"/>
      <c r="N42" s="5"/>
      <c r="O42" s="5"/>
      <c r="P42" s="5"/>
    </row>
    <row r="43" spans="1:16" s="7" customFormat="1" ht="72" x14ac:dyDescent="0.25">
      <c r="A43" s="4">
        <v>1</v>
      </c>
      <c r="B43" s="5" t="s">
        <v>17</v>
      </c>
      <c r="C43" s="5" t="s">
        <v>1023</v>
      </c>
      <c r="D43" s="5" t="s">
        <v>957</v>
      </c>
      <c r="E43" s="5" t="s">
        <v>20</v>
      </c>
      <c r="F43" s="5" t="s">
        <v>21</v>
      </c>
      <c r="G43" s="5" t="s">
        <v>22</v>
      </c>
      <c r="H43" s="5" t="s">
        <v>23</v>
      </c>
      <c r="I43" s="5" t="s">
        <v>961</v>
      </c>
      <c r="J43" s="5" t="s">
        <v>1549</v>
      </c>
      <c r="K43" s="5" t="s">
        <v>944</v>
      </c>
      <c r="L43" s="46" t="s">
        <v>672</v>
      </c>
      <c r="M43" s="5"/>
      <c r="N43" s="5"/>
      <c r="O43" s="5"/>
      <c r="P43" s="5"/>
    </row>
    <row r="44" spans="1:16" s="7" customFormat="1" ht="58.8" customHeight="1" x14ac:dyDescent="0.25">
      <c r="A44" s="4">
        <v>2</v>
      </c>
      <c r="B44" s="5" t="s">
        <v>17</v>
      </c>
      <c r="C44" s="5" t="s">
        <v>1024</v>
      </c>
      <c r="D44" s="5" t="s">
        <v>958</v>
      </c>
      <c r="E44" s="5" t="s">
        <v>20</v>
      </c>
      <c r="F44" s="5" t="s">
        <v>21</v>
      </c>
      <c r="G44" s="5" t="s">
        <v>22</v>
      </c>
      <c r="H44" s="5" t="s">
        <v>23</v>
      </c>
      <c r="I44" s="5" t="s">
        <v>962</v>
      </c>
      <c r="J44" s="5" t="s">
        <v>1550</v>
      </c>
      <c r="K44" s="5"/>
      <c r="L44" s="46" t="s">
        <v>672</v>
      </c>
      <c r="M44" s="5"/>
      <c r="N44" s="5"/>
      <c r="O44" s="5"/>
      <c r="P44" s="5"/>
    </row>
    <row r="45" spans="1:16" s="7" customFormat="1" ht="68.400000000000006" customHeight="1" x14ac:dyDescent="0.25">
      <c r="A45" s="4">
        <v>3</v>
      </c>
      <c r="B45" s="5" t="s">
        <v>17</v>
      </c>
      <c r="C45" s="5" t="s">
        <v>1025</v>
      </c>
      <c r="D45" s="5" t="s">
        <v>959</v>
      </c>
      <c r="E45" s="5" t="s">
        <v>20</v>
      </c>
      <c r="F45" s="5" t="s">
        <v>21</v>
      </c>
      <c r="G45" s="5" t="s">
        <v>22</v>
      </c>
      <c r="H45" s="5" t="s">
        <v>23</v>
      </c>
      <c r="I45" s="5" t="s">
        <v>963</v>
      </c>
      <c r="J45" s="5" t="s">
        <v>1551</v>
      </c>
      <c r="K45" s="5"/>
      <c r="L45" s="46" t="s">
        <v>672</v>
      </c>
      <c r="M45" s="5"/>
      <c r="N45" s="5"/>
      <c r="O45" s="5"/>
      <c r="P45" s="5"/>
    </row>
    <row r="46" spans="1:16" s="7" customFormat="1" ht="62.4" customHeight="1" x14ac:dyDescent="0.25">
      <c r="A46" s="4">
        <v>4</v>
      </c>
      <c r="B46" s="5" t="s">
        <v>17</v>
      </c>
      <c r="C46" s="5" t="s">
        <v>1026</v>
      </c>
      <c r="D46" s="5" t="s">
        <v>960</v>
      </c>
      <c r="E46" s="5" t="s">
        <v>20</v>
      </c>
      <c r="F46" s="5" t="s">
        <v>21</v>
      </c>
      <c r="G46" s="5" t="s">
        <v>22</v>
      </c>
      <c r="H46" s="5" t="s">
        <v>23</v>
      </c>
      <c r="I46" s="5" t="s">
        <v>964</v>
      </c>
      <c r="J46" s="5" t="s">
        <v>1552</v>
      </c>
      <c r="K46" s="5"/>
      <c r="L46" s="46" t="s">
        <v>672</v>
      </c>
      <c r="M46" s="5"/>
      <c r="N46" s="5"/>
      <c r="O46" s="5"/>
      <c r="P46" s="5"/>
    </row>
    <row r="47" spans="1:16" s="7" customFormat="1" x14ac:dyDescent="0.25">
      <c r="A47" s="139" t="s">
        <v>965</v>
      </c>
      <c r="B47" s="140"/>
      <c r="C47" s="140"/>
      <c r="D47" s="140"/>
      <c r="E47" s="140"/>
      <c r="F47" s="140"/>
      <c r="G47" s="140"/>
      <c r="H47" s="140"/>
      <c r="I47" s="140"/>
      <c r="J47" s="140"/>
      <c r="K47" s="140"/>
      <c r="L47" s="140"/>
      <c r="M47" s="140"/>
      <c r="N47" s="140"/>
      <c r="O47" s="140"/>
      <c r="P47" s="140"/>
    </row>
    <row r="48" spans="1:16" s="7" customFormat="1" ht="72" x14ac:dyDescent="0.25">
      <c r="A48" s="4">
        <v>1</v>
      </c>
      <c r="B48" s="5" t="s">
        <v>17</v>
      </c>
      <c r="C48" s="5" t="s">
        <v>1027</v>
      </c>
      <c r="D48" s="5" t="s">
        <v>208</v>
      </c>
      <c r="E48" s="5" t="s">
        <v>20</v>
      </c>
      <c r="F48" s="5" t="s">
        <v>21</v>
      </c>
      <c r="G48" s="5" t="s">
        <v>22</v>
      </c>
      <c r="H48" s="5" t="s">
        <v>23</v>
      </c>
      <c r="I48" s="5" t="s">
        <v>967</v>
      </c>
      <c r="J48" s="5" t="s">
        <v>1514</v>
      </c>
      <c r="K48" s="5" t="s">
        <v>944</v>
      </c>
      <c r="L48" s="46" t="s">
        <v>672</v>
      </c>
      <c r="M48" s="5"/>
      <c r="N48" s="5"/>
      <c r="O48" s="5"/>
      <c r="P48" s="5"/>
    </row>
    <row r="49" spans="1:16" s="7" customFormat="1" ht="58.8" customHeight="1" x14ac:dyDescent="0.25">
      <c r="A49" s="4">
        <v>2</v>
      </c>
      <c r="B49" s="5" t="s">
        <v>17</v>
      </c>
      <c r="C49" s="5" t="s">
        <v>232</v>
      </c>
      <c r="D49" s="5" t="s">
        <v>210</v>
      </c>
      <c r="E49" s="5" t="s">
        <v>20</v>
      </c>
      <c r="F49" s="5" t="s">
        <v>21</v>
      </c>
      <c r="G49" s="5" t="s">
        <v>22</v>
      </c>
      <c r="H49" s="5" t="s">
        <v>23</v>
      </c>
      <c r="I49" s="5" t="s">
        <v>968</v>
      </c>
      <c r="J49" s="5" t="s">
        <v>1515</v>
      </c>
      <c r="K49" s="5"/>
      <c r="L49" s="46" t="s">
        <v>672</v>
      </c>
      <c r="M49" s="5"/>
      <c r="N49" s="5"/>
      <c r="O49" s="5"/>
      <c r="P49" s="5"/>
    </row>
    <row r="50" spans="1:16" s="7" customFormat="1" ht="68.400000000000006" customHeight="1" x14ac:dyDescent="0.25">
      <c r="A50" s="4">
        <v>3</v>
      </c>
      <c r="B50" s="5" t="s">
        <v>17</v>
      </c>
      <c r="C50" s="5" t="s">
        <v>233</v>
      </c>
      <c r="D50" s="5" t="s">
        <v>212</v>
      </c>
      <c r="E50" s="5" t="s">
        <v>20</v>
      </c>
      <c r="F50" s="5" t="s">
        <v>21</v>
      </c>
      <c r="G50" s="5" t="s">
        <v>22</v>
      </c>
      <c r="H50" s="5" t="s">
        <v>23</v>
      </c>
      <c r="I50" s="5" t="s">
        <v>969</v>
      </c>
      <c r="J50" s="5" t="s">
        <v>1516</v>
      </c>
      <c r="K50" s="5"/>
      <c r="L50" s="46" t="s">
        <v>672</v>
      </c>
      <c r="M50" s="5"/>
      <c r="N50" s="5"/>
      <c r="O50" s="5"/>
      <c r="P50" s="5"/>
    </row>
    <row r="51" spans="1:16" s="7" customFormat="1" ht="62.4" customHeight="1" x14ac:dyDescent="0.25">
      <c r="A51" s="4">
        <v>4</v>
      </c>
      <c r="B51" s="5" t="s">
        <v>17</v>
      </c>
      <c r="C51" s="5" t="s">
        <v>234</v>
      </c>
      <c r="D51" s="5" t="s">
        <v>214</v>
      </c>
      <c r="E51" s="5" t="s">
        <v>20</v>
      </c>
      <c r="F51" s="5" t="s">
        <v>21</v>
      </c>
      <c r="G51" s="5" t="s">
        <v>22</v>
      </c>
      <c r="H51" s="5" t="s">
        <v>23</v>
      </c>
      <c r="I51" s="5" t="s">
        <v>970</v>
      </c>
      <c r="J51" s="5" t="s">
        <v>1514</v>
      </c>
      <c r="K51" s="5"/>
      <c r="L51" s="46" t="s">
        <v>672</v>
      </c>
      <c r="M51" s="5"/>
      <c r="N51" s="5"/>
      <c r="O51" s="5"/>
      <c r="P51" s="5"/>
    </row>
    <row r="52" spans="1:16" s="7" customFormat="1" ht="72" x14ac:dyDescent="0.25">
      <c r="A52" s="4">
        <v>1</v>
      </c>
      <c r="B52" s="5" t="s">
        <v>17</v>
      </c>
      <c r="C52" s="5" t="s">
        <v>235</v>
      </c>
      <c r="D52" s="5" t="s">
        <v>953</v>
      </c>
      <c r="E52" s="5" t="s">
        <v>20</v>
      </c>
      <c r="F52" s="5" t="s">
        <v>21</v>
      </c>
      <c r="G52" s="5" t="s">
        <v>22</v>
      </c>
      <c r="H52" s="5" t="s">
        <v>23</v>
      </c>
      <c r="I52" s="5" t="s">
        <v>971</v>
      </c>
      <c r="J52" s="5" t="s">
        <v>1553</v>
      </c>
      <c r="K52" s="5" t="s">
        <v>944</v>
      </c>
      <c r="L52" s="46" t="s">
        <v>672</v>
      </c>
      <c r="M52" s="5"/>
      <c r="N52" s="5"/>
      <c r="O52" s="5"/>
      <c r="P52" s="5"/>
    </row>
    <row r="53" spans="1:16" s="7" customFormat="1" ht="58.8" customHeight="1" x14ac:dyDescent="0.25">
      <c r="A53" s="4">
        <v>2</v>
      </c>
      <c r="B53" s="5" t="s">
        <v>17</v>
      </c>
      <c r="C53" s="5" t="s">
        <v>1028</v>
      </c>
      <c r="D53" s="5" t="s">
        <v>954</v>
      </c>
      <c r="E53" s="5" t="s">
        <v>20</v>
      </c>
      <c r="F53" s="5" t="s">
        <v>21</v>
      </c>
      <c r="G53" s="5" t="s">
        <v>22</v>
      </c>
      <c r="H53" s="5" t="s">
        <v>23</v>
      </c>
      <c r="I53" s="5" t="s">
        <v>972</v>
      </c>
      <c r="J53" s="5" t="s">
        <v>1554</v>
      </c>
      <c r="K53" s="5"/>
      <c r="L53" s="46" t="s">
        <v>672</v>
      </c>
      <c r="M53" s="5"/>
      <c r="N53" s="5"/>
      <c r="O53" s="5"/>
      <c r="P53" s="5"/>
    </row>
    <row r="54" spans="1:16" s="7" customFormat="1" ht="68.400000000000006" customHeight="1" x14ac:dyDescent="0.25">
      <c r="A54" s="4">
        <v>3</v>
      </c>
      <c r="B54" s="5" t="s">
        <v>17</v>
      </c>
      <c r="C54" s="5" t="s">
        <v>1029</v>
      </c>
      <c r="D54" s="5" t="s">
        <v>955</v>
      </c>
      <c r="E54" s="5" t="s">
        <v>20</v>
      </c>
      <c r="F54" s="5" t="s">
        <v>21</v>
      </c>
      <c r="G54" s="5" t="s">
        <v>22</v>
      </c>
      <c r="H54" s="5" t="s">
        <v>23</v>
      </c>
      <c r="I54" s="5" t="s">
        <v>973</v>
      </c>
      <c r="J54" s="5" t="s">
        <v>1555</v>
      </c>
      <c r="K54" s="5"/>
      <c r="L54" s="46" t="s">
        <v>672</v>
      </c>
      <c r="M54" s="5"/>
      <c r="N54" s="5"/>
      <c r="O54" s="5"/>
      <c r="P54" s="5"/>
    </row>
    <row r="55" spans="1:16" s="7" customFormat="1" ht="62.4" customHeight="1" x14ac:dyDescent="0.25">
      <c r="A55" s="4">
        <v>4</v>
      </c>
      <c r="B55" s="5" t="s">
        <v>17</v>
      </c>
      <c r="C55" s="5" t="s">
        <v>1030</v>
      </c>
      <c r="D55" s="5" t="s">
        <v>956</v>
      </c>
      <c r="E55" s="5" t="s">
        <v>20</v>
      </c>
      <c r="F55" s="5" t="s">
        <v>21</v>
      </c>
      <c r="G55" s="5" t="s">
        <v>22</v>
      </c>
      <c r="H55" s="5" t="s">
        <v>23</v>
      </c>
      <c r="I55" s="5" t="s">
        <v>974</v>
      </c>
      <c r="J55" s="5" t="s">
        <v>1553</v>
      </c>
      <c r="K55" s="5"/>
      <c r="L55" s="46" t="s">
        <v>672</v>
      </c>
      <c r="M55" s="5"/>
      <c r="N55" s="5"/>
      <c r="O55" s="5"/>
      <c r="P55" s="5"/>
    </row>
    <row r="56" spans="1:16" s="7" customFormat="1" ht="72" x14ac:dyDescent="0.25">
      <c r="A56" s="4">
        <v>1</v>
      </c>
      <c r="B56" s="5" t="s">
        <v>17</v>
      </c>
      <c r="C56" s="5" t="s">
        <v>1031</v>
      </c>
      <c r="D56" s="5" t="s">
        <v>957</v>
      </c>
      <c r="E56" s="5" t="s">
        <v>20</v>
      </c>
      <c r="F56" s="5" t="s">
        <v>21</v>
      </c>
      <c r="G56" s="5" t="s">
        <v>22</v>
      </c>
      <c r="H56" s="5" t="s">
        <v>23</v>
      </c>
      <c r="I56" s="5" t="s">
        <v>975</v>
      </c>
      <c r="J56" s="5" t="s">
        <v>1556</v>
      </c>
      <c r="K56" s="5" t="s">
        <v>944</v>
      </c>
      <c r="L56" s="46" t="s">
        <v>672</v>
      </c>
      <c r="M56" s="5"/>
      <c r="N56" s="5"/>
      <c r="O56" s="5"/>
      <c r="P56" s="5"/>
    </row>
    <row r="57" spans="1:16" s="7" customFormat="1" ht="58.8" customHeight="1" x14ac:dyDescent="0.25">
      <c r="A57" s="4">
        <v>2</v>
      </c>
      <c r="B57" s="5" t="s">
        <v>17</v>
      </c>
      <c r="C57" s="5" t="s">
        <v>1032</v>
      </c>
      <c r="D57" s="5" t="s">
        <v>958</v>
      </c>
      <c r="E57" s="5" t="s">
        <v>20</v>
      </c>
      <c r="F57" s="5" t="s">
        <v>21</v>
      </c>
      <c r="G57" s="5" t="s">
        <v>22</v>
      </c>
      <c r="H57" s="5" t="s">
        <v>23</v>
      </c>
      <c r="I57" s="5" t="s">
        <v>976</v>
      </c>
      <c r="J57" s="5" t="s">
        <v>1557</v>
      </c>
      <c r="K57" s="5"/>
      <c r="L57" s="46" t="s">
        <v>672</v>
      </c>
      <c r="M57" s="5"/>
      <c r="N57" s="5"/>
      <c r="O57" s="5"/>
      <c r="P57" s="5"/>
    </row>
    <row r="58" spans="1:16" s="7" customFormat="1" ht="68.400000000000006" customHeight="1" x14ac:dyDescent="0.25">
      <c r="A58" s="4">
        <v>3</v>
      </c>
      <c r="B58" s="5" t="s">
        <v>17</v>
      </c>
      <c r="C58" s="5" t="s">
        <v>1033</v>
      </c>
      <c r="D58" s="5" t="s">
        <v>959</v>
      </c>
      <c r="E58" s="5" t="s">
        <v>20</v>
      </c>
      <c r="F58" s="5" t="s">
        <v>21</v>
      </c>
      <c r="G58" s="5" t="s">
        <v>22</v>
      </c>
      <c r="H58" s="5" t="s">
        <v>23</v>
      </c>
      <c r="I58" s="5" t="s">
        <v>977</v>
      </c>
      <c r="J58" s="5" t="s">
        <v>1558</v>
      </c>
      <c r="K58" s="5"/>
      <c r="L58" s="46" t="s">
        <v>672</v>
      </c>
      <c r="M58" s="5"/>
      <c r="N58" s="5"/>
      <c r="O58" s="5"/>
      <c r="P58" s="5"/>
    </row>
    <row r="59" spans="1:16" s="7" customFormat="1" ht="62.4" customHeight="1" x14ac:dyDescent="0.25">
      <c r="A59" s="4">
        <v>4</v>
      </c>
      <c r="B59" s="5" t="s">
        <v>17</v>
      </c>
      <c r="C59" s="5" t="s">
        <v>1034</v>
      </c>
      <c r="D59" s="5" t="s">
        <v>960</v>
      </c>
      <c r="E59" s="5" t="s">
        <v>20</v>
      </c>
      <c r="F59" s="5" t="s">
        <v>21</v>
      </c>
      <c r="G59" s="5" t="s">
        <v>22</v>
      </c>
      <c r="H59" s="5" t="s">
        <v>23</v>
      </c>
      <c r="I59" s="5" t="s">
        <v>978</v>
      </c>
      <c r="J59" s="5" t="s">
        <v>1556</v>
      </c>
      <c r="K59" s="5"/>
      <c r="L59" s="46" t="s">
        <v>672</v>
      </c>
      <c r="M59" s="5"/>
      <c r="N59" s="5"/>
      <c r="O59" s="5"/>
      <c r="P59" s="5"/>
    </row>
    <row r="60" spans="1:16" s="7" customFormat="1" ht="35.4" customHeight="1" x14ac:dyDescent="0.25">
      <c r="A60" s="139" t="s">
        <v>979</v>
      </c>
      <c r="B60" s="140"/>
      <c r="C60" s="140"/>
      <c r="D60" s="140"/>
      <c r="E60" s="140"/>
      <c r="F60" s="140"/>
      <c r="G60" s="140"/>
      <c r="H60" s="140"/>
      <c r="I60" s="140"/>
      <c r="J60" s="140"/>
      <c r="K60" s="140"/>
      <c r="L60" s="140"/>
      <c r="M60" s="140"/>
      <c r="N60" s="140"/>
      <c r="O60" s="140"/>
      <c r="P60" s="140"/>
    </row>
    <row r="61" spans="1:16" s="7" customFormat="1" ht="35.4" customHeight="1" x14ac:dyDescent="0.25">
      <c r="A61" s="6"/>
      <c r="B61" s="51" t="s">
        <v>981</v>
      </c>
      <c r="C61" s="5" t="s">
        <v>1035</v>
      </c>
      <c r="D61" s="53" t="s">
        <v>987</v>
      </c>
      <c r="E61" s="54" t="s">
        <v>55</v>
      </c>
      <c r="F61" s="5" t="s">
        <v>21</v>
      </c>
      <c r="G61" s="5" t="s">
        <v>22</v>
      </c>
      <c r="H61" s="55" t="s">
        <v>983</v>
      </c>
      <c r="I61" s="51" t="s">
        <v>985</v>
      </c>
      <c r="J61" s="52" t="s">
        <v>989</v>
      </c>
      <c r="K61" s="5"/>
      <c r="L61" s="46" t="s">
        <v>672</v>
      </c>
      <c r="M61" s="5"/>
      <c r="N61" s="5"/>
      <c r="O61" s="5"/>
      <c r="P61" s="5"/>
    </row>
    <row r="62" spans="1:16" s="7" customFormat="1" ht="62.4" customHeight="1" x14ac:dyDescent="0.25">
      <c r="A62" s="4"/>
      <c r="B62" s="51" t="s">
        <v>981</v>
      </c>
      <c r="C62" s="5" t="s">
        <v>1036</v>
      </c>
      <c r="D62" s="53" t="s">
        <v>984</v>
      </c>
      <c r="E62" s="54" t="s">
        <v>55</v>
      </c>
      <c r="F62" s="5" t="s">
        <v>21</v>
      </c>
      <c r="G62" s="5" t="s">
        <v>22</v>
      </c>
      <c r="H62" s="55" t="s">
        <v>983</v>
      </c>
      <c r="I62" s="51" t="s">
        <v>988</v>
      </c>
      <c r="J62" s="52" t="s">
        <v>986</v>
      </c>
      <c r="K62" s="5"/>
      <c r="L62" s="46" t="s">
        <v>672</v>
      </c>
      <c r="M62" s="5"/>
      <c r="N62" s="5"/>
      <c r="O62" s="5"/>
      <c r="P62" s="5"/>
    </row>
    <row r="63" spans="1:16" x14ac:dyDescent="0.25">
      <c r="A63" s="139" t="s">
        <v>1004</v>
      </c>
      <c r="B63" s="140"/>
      <c r="C63" s="140"/>
      <c r="D63" s="140"/>
      <c r="E63" s="140"/>
      <c r="F63" s="140"/>
      <c r="G63" s="140"/>
      <c r="H63" s="140"/>
      <c r="I63" s="140"/>
      <c r="J63" s="140"/>
      <c r="K63" s="140"/>
      <c r="L63" s="140"/>
      <c r="M63" s="140"/>
      <c r="N63" s="140"/>
      <c r="O63" s="140"/>
      <c r="P63" s="140"/>
    </row>
    <row r="64" spans="1:16" ht="72" x14ac:dyDescent="0.25">
      <c r="A64" s="4">
        <v>1</v>
      </c>
      <c r="B64" s="5" t="s">
        <v>17</v>
      </c>
      <c r="C64" s="5" t="s">
        <v>1037</v>
      </c>
      <c r="D64" s="5" t="s">
        <v>992</v>
      </c>
      <c r="E64" s="5" t="s">
        <v>20</v>
      </c>
      <c r="F64" s="5" t="s">
        <v>21</v>
      </c>
      <c r="G64" s="5" t="s">
        <v>22</v>
      </c>
      <c r="H64" s="5" t="s">
        <v>23</v>
      </c>
      <c r="I64" s="5" t="s">
        <v>945</v>
      </c>
      <c r="J64" s="5" t="s">
        <v>1510</v>
      </c>
      <c r="K64" s="5" t="s">
        <v>944</v>
      </c>
      <c r="L64" s="46" t="s">
        <v>672</v>
      </c>
      <c r="M64" s="5"/>
      <c r="N64" s="5"/>
      <c r="O64" s="5"/>
      <c r="P64" s="5"/>
    </row>
    <row r="65" spans="1:16" ht="48" x14ac:dyDescent="0.25">
      <c r="A65" s="4">
        <v>2</v>
      </c>
      <c r="B65" s="5" t="s">
        <v>17</v>
      </c>
      <c r="C65" s="5" t="s">
        <v>1038</v>
      </c>
      <c r="D65" s="5" t="s">
        <v>995</v>
      </c>
      <c r="E65" s="5" t="s">
        <v>20</v>
      </c>
      <c r="F65" s="5" t="s">
        <v>21</v>
      </c>
      <c r="G65" s="5" t="s">
        <v>22</v>
      </c>
      <c r="H65" s="5" t="s">
        <v>23</v>
      </c>
      <c r="I65" s="5" t="s">
        <v>946</v>
      </c>
      <c r="J65" s="5" t="s">
        <v>1511</v>
      </c>
      <c r="K65" s="5"/>
      <c r="L65" s="46" t="s">
        <v>672</v>
      </c>
      <c r="M65" s="5"/>
      <c r="N65" s="5"/>
      <c r="O65" s="5"/>
      <c r="P65" s="5"/>
    </row>
    <row r="66" spans="1:16" ht="48" x14ac:dyDescent="0.25">
      <c r="A66" s="4">
        <v>3</v>
      </c>
      <c r="B66" s="5" t="s">
        <v>17</v>
      </c>
      <c r="C66" s="5" t="s">
        <v>1039</v>
      </c>
      <c r="D66" s="5" t="s">
        <v>998</v>
      </c>
      <c r="E66" s="5" t="s">
        <v>20</v>
      </c>
      <c r="F66" s="5" t="s">
        <v>21</v>
      </c>
      <c r="G66" s="5" t="s">
        <v>22</v>
      </c>
      <c r="H66" s="5" t="s">
        <v>23</v>
      </c>
      <c r="I66" s="5" t="s">
        <v>947</v>
      </c>
      <c r="J66" s="5" t="s">
        <v>1512</v>
      </c>
      <c r="K66" s="5"/>
      <c r="L66" s="46" t="s">
        <v>672</v>
      </c>
      <c r="M66" s="5"/>
      <c r="N66" s="5"/>
      <c r="O66" s="5"/>
      <c r="P66" s="5"/>
    </row>
    <row r="67" spans="1:16" ht="36" x14ac:dyDescent="0.25">
      <c r="A67" s="4">
        <v>4</v>
      </c>
      <c r="B67" s="5" t="s">
        <v>17</v>
      </c>
      <c r="C67" s="5" t="s">
        <v>1040</v>
      </c>
      <c r="D67" s="5" t="s">
        <v>1001</v>
      </c>
      <c r="E67" s="5" t="s">
        <v>20</v>
      </c>
      <c r="F67" s="5" t="s">
        <v>21</v>
      </c>
      <c r="G67" s="5" t="s">
        <v>22</v>
      </c>
      <c r="H67" s="5" t="s">
        <v>23</v>
      </c>
      <c r="I67" s="5" t="s">
        <v>948</v>
      </c>
      <c r="J67" s="5" t="s">
        <v>1513</v>
      </c>
      <c r="K67" s="5"/>
      <c r="L67" s="46" t="s">
        <v>672</v>
      </c>
      <c r="M67" s="5"/>
      <c r="N67" s="5"/>
      <c r="O67" s="5"/>
      <c r="P67" s="5"/>
    </row>
    <row r="68" spans="1:16" ht="72" x14ac:dyDescent="0.25">
      <c r="A68" s="4">
        <v>1</v>
      </c>
      <c r="B68" s="5" t="s">
        <v>17</v>
      </c>
      <c r="C68" s="5" t="s">
        <v>1041</v>
      </c>
      <c r="D68" s="5" t="s">
        <v>993</v>
      </c>
      <c r="E68" s="5" t="s">
        <v>20</v>
      </c>
      <c r="F68" s="5" t="s">
        <v>21</v>
      </c>
      <c r="G68" s="5" t="s">
        <v>22</v>
      </c>
      <c r="H68" s="5" t="s">
        <v>23</v>
      </c>
      <c r="I68" s="5" t="s">
        <v>949</v>
      </c>
      <c r="J68" s="5" t="s">
        <v>1545</v>
      </c>
      <c r="K68" s="5" t="s">
        <v>944</v>
      </c>
      <c r="L68" s="46" t="s">
        <v>672</v>
      </c>
      <c r="M68" s="5"/>
      <c r="N68" s="5"/>
      <c r="O68" s="5"/>
      <c r="P68" s="5"/>
    </row>
    <row r="69" spans="1:16" ht="48" x14ac:dyDescent="0.25">
      <c r="A69" s="4">
        <v>2</v>
      </c>
      <c r="B69" s="5" t="s">
        <v>17</v>
      </c>
      <c r="C69" s="5" t="s">
        <v>1042</v>
      </c>
      <c r="D69" s="5" t="s">
        <v>996</v>
      </c>
      <c r="E69" s="5" t="s">
        <v>20</v>
      </c>
      <c r="F69" s="5" t="s">
        <v>21</v>
      </c>
      <c r="G69" s="5" t="s">
        <v>22</v>
      </c>
      <c r="H69" s="5" t="s">
        <v>23</v>
      </c>
      <c r="I69" s="5" t="s">
        <v>950</v>
      </c>
      <c r="J69" s="5" t="s">
        <v>1546</v>
      </c>
      <c r="K69" s="5"/>
      <c r="L69" s="46" t="s">
        <v>672</v>
      </c>
      <c r="M69" s="5"/>
      <c r="N69" s="5"/>
      <c r="O69" s="5"/>
      <c r="P69" s="5"/>
    </row>
    <row r="70" spans="1:16" ht="48" x14ac:dyDescent="0.25">
      <c r="A70" s="4">
        <v>3</v>
      </c>
      <c r="B70" s="5" t="s">
        <v>17</v>
      </c>
      <c r="C70" s="5" t="s">
        <v>1043</v>
      </c>
      <c r="D70" s="5" t="s">
        <v>999</v>
      </c>
      <c r="E70" s="5" t="s">
        <v>20</v>
      </c>
      <c r="F70" s="5" t="s">
        <v>21</v>
      </c>
      <c r="G70" s="5" t="s">
        <v>22</v>
      </c>
      <c r="H70" s="5" t="s">
        <v>23</v>
      </c>
      <c r="I70" s="5" t="s">
        <v>951</v>
      </c>
      <c r="J70" s="5" t="s">
        <v>1547</v>
      </c>
      <c r="K70" s="5"/>
      <c r="L70" s="46" t="s">
        <v>672</v>
      </c>
      <c r="M70" s="5"/>
      <c r="N70" s="5"/>
      <c r="O70" s="5"/>
      <c r="P70" s="5"/>
    </row>
    <row r="71" spans="1:16" ht="36" x14ac:dyDescent="0.25">
      <c r="A71" s="4">
        <v>4</v>
      </c>
      <c r="B71" s="5" t="s">
        <v>17</v>
      </c>
      <c r="C71" s="5" t="s">
        <v>1044</v>
      </c>
      <c r="D71" s="5" t="s">
        <v>1002</v>
      </c>
      <c r="E71" s="5" t="s">
        <v>20</v>
      </c>
      <c r="F71" s="5" t="s">
        <v>21</v>
      </c>
      <c r="G71" s="5" t="s">
        <v>22</v>
      </c>
      <c r="H71" s="5" t="s">
        <v>23</v>
      </c>
      <c r="I71" s="5" t="s">
        <v>952</v>
      </c>
      <c r="J71" s="5" t="s">
        <v>1548</v>
      </c>
      <c r="K71" s="5"/>
      <c r="L71" s="46" t="s">
        <v>672</v>
      </c>
      <c r="M71" s="5"/>
      <c r="N71" s="5"/>
      <c r="O71" s="5"/>
      <c r="P71" s="5"/>
    </row>
    <row r="72" spans="1:16" ht="72" x14ac:dyDescent="0.25">
      <c r="A72" s="4">
        <v>1</v>
      </c>
      <c r="B72" s="5" t="s">
        <v>17</v>
      </c>
      <c r="C72" s="5" t="s">
        <v>1045</v>
      </c>
      <c r="D72" s="5" t="s">
        <v>994</v>
      </c>
      <c r="E72" s="5" t="s">
        <v>20</v>
      </c>
      <c r="F72" s="5" t="s">
        <v>21</v>
      </c>
      <c r="G72" s="5" t="s">
        <v>22</v>
      </c>
      <c r="H72" s="5" t="s">
        <v>23</v>
      </c>
      <c r="I72" s="5" t="s">
        <v>961</v>
      </c>
      <c r="J72" s="5" t="s">
        <v>1549</v>
      </c>
      <c r="K72" s="5" t="s">
        <v>944</v>
      </c>
      <c r="L72" s="46" t="s">
        <v>672</v>
      </c>
      <c r="M72" s="5"/>
      <c r="N72" s="5"/>
      <c r="O72" s="5"/>
      <c r="P72" s="5"/>
    </row>
    <row r="73" spans="1:16" ht="60" x14ac:dyDescent="0.25">
      <c r="A73" s="4">
        <v>2</v>
      </c>
      <c r="B73" s="5" t="s">
        <v>17</v>
      </c>
      <c r="C73" s="5" t="s">
        <v>1046</v>
      </c>
      <c r="D73" s="5" t="s">
        <v>997</v>
      </c>
      <c r="E73" s="5" t="s">
        <v>20</v>
      </c>
      <c r="F73" s="5" t="s">
        <v>21</v>
      </c>
      <c r="G73" s="5" t="s">
        <v>22</v>
      </c>
      <c r="H73" s="5" t="s">
        <v>23</v>
      </c>
      <c r="I73" s="5" t="s">
        <v>962</v>
      </c>
      <c r="J73" s="5" t="s">
        <v>1550</v>
      </c>
      <c r="K73" s="5"/>
      <c r="L73" s="46" t="s">
        <v>672</v>
      </c>
      <c r="M73" s="5"/>
      <c r="N73" s="5"/>
      <c r="O73" s="5"/>
      <c r="P73" s="5"/>
    </row>
    <row r="74" spans="1:16" ht="60" x14ac:dyDescent="0.25">
      <c r="A74" s="4">
        <v>3</v>
      </c>
      <c r="B74" s="5" t="s">
        <v>17</v>
      </c>
      <c r="C74" s="5" t="s">
        <v>1047</v>
      </c>
      <c r="D74" s="5" t="s">
        <v>1000</v>
      </c>
      <c r="E74" s="5" t="s">
        <v>20</v>
      </c>
      <c r="F74" s="5" t="s">
        <v>21</v>
      </c>
      <c r="G74" s="5" t="s">
        <v>22</v>
      </c>
      <c r="H74" s="5" t="s">
        <v>23</v>
      </c>
      <c r="I74" s="5" t="s">
        <v>963</v>
      </c>
      <c r="J74" s="5" t="s">
        <v>1551</v>
      </c>
      <c r="K74" s="5"/>
      <c r="L74" s="46" t="s">
        <v>672</v>
      </c>
      <c r="M74" s="5"/>
      <c r="N74" s="5"/>
      <c r="O74" s="5"/>
      <c r="P74" s="5"/>
    </row>
    <row r="75" spans="1:16" ht="48" x14ac:dyDescent="0.25">
      <c r="A75" s="4">
        <v>4</v>
      </c>
      <c r="B75" s="5" t="s">
        <v>17</v>
      </c>
      <c r="C75" s="5" t="s">
        <v>1048</v>
      </c>
      <c r="D75" s="5" t="s">
        <v>1003</v>
      </c>
      <c r="E75" s="5" t="s">
        <v>20</v>
      </c>
      <c r="F75" s="5" t="s">
        <v>21</v>
      </c>
      <c r="G75" s="5" t="s">
        <v>22</v>
      </c>
      <c r="H75" s="5" t="s">
        <v>23</v>
      </c>
      <c r="I75" s="5" t="s">
        <v>964</v>
      </c>
      <c r="J75" s="5" t="s">
        <v>1552</v>
      </c>
      <c r="K75" s="5"/>
      <c r="L75" s="46" t="s">
        <v>672</v>
      </c>
      <c r="M75" s="5"/>
      <c r="N75" s="5"/>
      <c r="O75" s="5"/>
      <c r="P75" s="5"/>
    </row>
    <row r="76" spans="1:16" x14ac:dyDescent="0.25">
      <c r="A76" s="139" t="s">
        <v>965</v>
      </c>
      <c r="B76" s="140"/>
      <c r="C76" s="140"/>
      <c r="D76" s="140"/>
      <c r="E76" s="140"/>
      <c r="F76" s="140"/>
      <c r="G76" s="140"/>
      <c r="H76" s="140"/>
      <c r="I76" s="140"/>
      <c r="J76" s="140"/>
      <c r="K76" s="140"/>
      <c r="L76" s="140"/>
      <c r="M76" s="140"/>
      <c r="N76" s="140"/>
      <c r="O76" s="140"/>
      <c r="P76" s="140"/>
    </row>
    <row r="77" spans="1:16" ht="72" x14ac:dyDescent="0.25">
      <c r="A77" s="4">
        <v>1</v>
      </c>
      <c r="B77" s="5" t="s">
        <v>17</v>
      </c>
      <c r="C77" s="5" t="s">
        <v>1049</v>
      </c>
      <c r="D77" s="5" t="s">
        <v>992</v>
      </c>
      <c r="E77" s="5" t="s">
        <v>20</v>
      </c>
      <c r="F77" s="5" t="s">
        <v>21</v>
      </c>
      <c r="G77" s="5" t="s">
        <v>22</v>
      </c>
      <c r="H77" s="5" t="s">
        <v>23</v>
      </c>
      <c r="I77" s="5" t="s">
        <v>967</v>
      </c>
      <c r="J77" s="5" t="s">
        <v>1514</v>
      </c>
      <c r="K77" s="5" t="s">
        <v>944</v>
      </c>
      <c r="L77" s="46" t="s">
        <v>672</v>
      </c>
      <c r="M77" s="5"/>
      <c r="N77" s="5"/>
      <c r="O77" s="5"/>
      <c r="P77" s="5"/>
    </row>
    <row r="78" spans="1:16" ht="36" x14ac:dyDescent="0.25">
      <c r="A78" s="4">
        <v>2</v>
      </c>
      <c r="B78" s="5" t="s">
        <v>17</v>
      </c>
      <c r="C78" s="5" t="s">
        <v>1050</v>
      </c>
      <c r="D78" s="5" t="s">
        <v>995</v>
      </c>
      <c r="E78" s="5" t="s">
        <v>20</v>
      </c>
      <c r="F78" s="5" t="s">
        <v>21</v>
      </c>
      <c r="G78" s="5" t="s">
        <v>22</v>
      </c>
      <c r="H78" s="5" t="s">
        <v>23</v>
      </c>
      <c r="I78" s="5" t="s">
        <v>968</v>
      </c>
      <c r="J78" s="5" t="s">
        <v>1515</v>
      </c>
      <c r="K78" s="5"/>
      <c r="L78" s="46" t="s">
        <v>672</v>
      </c>
      <c r="M78" s="5"/>
      <c r="N78" s="5"/>
      <c r="O78" s="5"/>
      <c r="P78" s="5"/>
    </row>
    <row r="79" spans="1:16" ht="36" x14ac:dyDescent="0.25">
      <c r="A79" s="4">
        <v>3</v>
      </c>
      <c r="B79" s="5" t="s">
        <v>17</v>
      </c>
      <c r="C79" s="5" t="s">
        <v>1051</v>
      </c>
      <c r="D79" s="5" t="s">
        <v>998</v>
      </c>
      <c r="E79" s="5" t="s">
        <v>20</v>
      </c>
      <c r="F79" s="5" t="s">
        <v>21</v>
      </c>
      <c r="G79" s="5" t="s">
        <v>22</v>
      </c>
      <c r="H79" s="5" t="s">
        <v>23</v>
      </c>
      <c r="I79" s="5" t="s">
        <v>969</v>
      </c>
      <c r="J79" s="5" t="s">
        <v>1516</v>
      </c>
      <c r="K79" s="5"/>
      <c r="L79" s="46" t="s">
        <v>672</v>
      </c>
      <c r="M79" s="5"/>
      <c r="N79" s="5"/>
      <c r="O79" s="5"/>
      <c r="P79" s="5"/>
    </row>
    <row r="80" spans="1:16" ht="36" x14ac:dyDescent="0.25">
      <c r="A80" s="4">
        <v>4</v>
      </c>
      <c r="B80" s="5" t="s">
        <v>17</v>
      </c>
      <c r="C80" s="5" t="s">
        <v>1052</v>
      </c>
      <c r="D80" s="5" t="s">
        <v>1001</v>
      </c>
      <c r="E80" s="5" t="s">
        <v>20</v>
      </c>
      <c r="F80" s="5" t="s">
        <v>21</v>
      </c>
      <c r="G80" s="5" t="s">
        <v>22</v>
      </c>
      <c r="H80" s="5" t="s">
        <v>23</v>
      </c>
      <c r="I80" s="5" t="s">
        <v>970</v>
      </c>
      <c r="J80" s="5" t="s">
        <v>1514</v>
      </c>
      <c r="K80" s="5"/>
      <c r="L80" s="46" t="s">
        <v>672</v>
      </c>
      <c r="M80" s="5"/>
      <c r="N80" s="5"/>
      <c r="O80" s="5"/>
      <c r="P80" s="5"/>
    </row>
    <row r="81" spans="1:16" ht="72" x14ac:dyDescent="0.25">
      <c r="A81" s="4">
        <v>1</v>
      </c>
      <c r="B81" s="5" t="s">
        <v>17</v>
      </c>
      <c r="C81" s="5" t="s">
        <v>1053</v>
      </c>
      <c r="D81" s="5" t="s">
        <v>993</v>
      </c>
      <c r="E81" s="5" t="s">
        <v>20</v>
      </c>
      <c r="F81" s="5" t="s">
        <v>21</v>
      </c>
      <c r="G81" s="5" t="s">
        <v>22</v>
      </c>
      <c r="H81" s="5" t="s">
        <v>23</v>
      </c>
      <c r="I81" s="5" t="s">
        <v>971</v>
      </c>
      <c r="J81" s="5" t="s">
        <v>1553</v>
      </c>
      <c r="K81" s="5" t="s">
        <v>944</v>
      </c>
      <c r="L81" s="46" t="s">
        <v>672</v>
      </c>
      <c r="M81" s="5"/>
      <c r="N81" s="5"/>
      <c r="O81" s="5"/>
      <c r="P81" s="5"/>
    </row>
    <row r="82" spans="1:16" ht="36" x14ac:dyDescent="0.25">
      <c r="A82" s="4">
        <v>2</v>
      </c>
      <c r="B82" s="5" t="s">
        <v>17</v>
      </c>
      <c r="C82" s="5" t="s">
        <v>1054</v>
      </c>
      <c r="D82" s="5" t="s">
        <v>996</v>
      </c>
      <c r="E82" s="5" t="s">
        <v>20</v>
      </c>
      <c r="F82" s="5" t="s">
        <v>21</v>
      </c>
      <c r="G82" s="5" t="s">
        <v>22</v>
      </c>
      <c r="H82" s="5" t="s">
        <v>23</v>
      </c>
      <c r="I82" s="5" t="s">
        <v>972</v>
      </c>
      <c r="J82" s="5" t="s">
        <v>1554</v>
      </c>
      <c r="K82" s="5"/>
      <c r="L82" s="46" t="s">
        <v>672</v>
      </c>
      <c r="M82" s="5"/>
      <c r="N82" s="5"/>
      <c r="O82" s="5"/>
      <c r="P82" s="5"/>
    </row>
    <row r="83" spans="1:16" ht="36" x14ac:dyDescent="0.25">
      <c r="A83" s="4">
        <v>3</v>
      </c>
      <c r="B83" s="5" t="s">
        <v>17</v>
      </c>
      <c r="C83" s="5" t="s">
        <v>1055</v>
      </c>
      <c r="D83" s="5" t="s">
        <v>999</v>
      </c>
      <c r="E83" s="5" t="s">
        <v>20</v>
      </c>
      <c r="F83" s="5" t="s">
        <v>21</v>
      </c>
      <c r="G83" s="5" t="s">
        <v>22</v>
      </c>
      <c r="H83" s="5" t="s">
        <v>23</v>
      </c>
      <c r="I83" s="5" t="s">
        <v>973</v>
      </c>
      <c r="J83" s="5" t="s">
        <v>1555</v>
      </c>
      <c r="K83" s="5"/>
      <c r="L83" s="46" t="s">
        <v>672</v>
      </c>
      <c r="M83" s="5"/>
      <c r="N83" s="5"/>
      <c r="O83" s="5"/>
      <c r="P83" s="5"/>
    </row>
    <row r="84" spans="1:16" ht="36" x14ac:dyDescent="0.25">
      <c r="A84" s="4">
        <v>4</v>
      </c>
      <c r="B84" s="5" t="s">
        <v>17</v>
      </c>
      <c r="C84" s="5" t="s">
        <v>1056</v>
      </c>
      <c r="D84" s="5" t="s">
        <v>1002</v>
      </c>
      <c r="E84" s="5" t="s">
        <v>20</v>
      </c>
      <c r="F84" s="5" t="s">
        <v>21</v>
      </c>
      <c r="G84" s="5" t="s">
        <v>22</v>
      </c>
      <c r="H84" s="5" t="s">
        <v>23</v>
      </c>
      <c r="I84" s="5" t="s">
        <v>974</v>
      </c>
      <c r="J84" s="5" t="s">
        <v>1553</v>
      </c>
      <c r="K84" s="5"/>
      <c r="L84" s="46" t="s">
        <v>672</v>
      </c>
      <c r="M84" s="5"/>
      <c r="N84" s="5"/>
      <c r="O84" s="5"/>
      <c r="P84" s="5"/>
    </row>
    <row r="85" spans="1:16" ht="72" x14ac:dyDescent="0.25">
      <c r="A85" s="4">
        <v>1</v>
      </c>
      <c r="B85" s="5" t="s">
        <v>17</v>
      </c>
      <c r="C85" s="5" t="s">
        <v>1057</v>
      </c>
      <c r="D85" s="5" t="s">
        <v>994</v>
      </c>
      <c r="E85" s="5" t="s">
        <v>20</v>
      </c>
      <c r="F85" s="5" t="s">
        <v>21</v>
      </c>
      <c r="G85" s="5" t="s">
        <v>22</v>
      </c>
      <c r="H85" s="5" t="s">
        <v>23</v>
      </c>
      <c r="I85" s="5" t="s">
        <v>975</v>
      </c>
      <c r="J85" s="5" t="s">
        <v>1556</v>
      </c>
      <c r="K85" s="5" t="s">
        <v>944</v>
      </c>
      <c r="L85" s="46" t="s">
        <v>672</v>
      </c>
      <c r="M85" s="5"/>
      <c r="N85" s="5"/>
      <c r="O85" s="5"/>
      <c r="P85" s="5"/>
    </row>
    <row r="86" spans="1:16" ht="48" x14ac:dyDescent="0.25">
      <c r="A86" s="4">
        <v>2</v>
      </c>
      <c r="B86" s="5" t="s">
        <v>17</v>
      </c>
      <c r="C86" s="5" t="s">
        <v>1058</v>
      </c>
      <c r="D86" s="5" t="s">
        <v>997</v>
      </c>
      <c r="E86" s="5" t="s">
        <v>20</v>
      </c>
      <c r="F86" s="5" t="s">
        <v>21</v>
      </c>
      <c r="G86" s="5" t="s">
        <v>22</v>
      </c>
      <c r="H86" s="5" t="s">
        <v>23</v>
      </c>
      <c r="I86" s="5" t="s">
        <v>976</v>
      </c>
      <c r="J86" s="5" t="s">
        <v>1557</v>
      </c>
      <c r="K86" s="5"/>
      <c r="L86" s="46" t="s">
        <v>672</v>
      </c>
      <c r="M86" s="5"/>
      <c r="N86" s="5"/>
      <c r="O86" s="5"/>
      <c r="P86" s="5"/>
    </row>
    <row r="87" spans="1:16" ht="48" x14ac:dyDescent="0.25">
      <c r="A87" s="4">
        <v>3</v>
      </c>
      <c r="B87" s="5" t="s">
        <v>17</v>
      </c>
      <c r="C87" s="5" t="s">
        <v>1059</v>
      </c>
      <c r="D87" s="5" t="s">
        <v>1000</v>
      </c>
      <c r="E87" s="5" t="s">
        <v>20</v>
      </c>
      <c r="F87" s="5" t="s">
        <v>21</v>
      </c>
      <c r="G87" s="5" t="s">
        <v>22</v>
      </c>
      <c r="H87" s="5" t="s">
        <v>23</v>
      </c>
      <c r="I87" s="5" t="s">
        <v>977</v>
      </c>
      <c r="J87" s="5" t="s">
        <v>1558</v>
      </c>
      <c r="K87" s="5"/>
      <c r="L87" s="46" t="s">
        <v>672</v>
      </c>
      <c r="M87" s="5"/>
      <c r="N87" s="5"/>
      <c r="O87" s="5"/>
      <c r="P87" s="5"/>
    </row>
    <row r="88" spans="1:16" ht="36" x14ac:dyDescent="0.25">
      <c r="A88" s="4">
        <v>4</v>
      </c>
      <c r="B88" s="5" t="s">
        <v>17</v>
      </c>
      <c r="C88" s="5" t="s">
        <v>1060</v>
      </c>
      <c r="D88" s="5" t="s">
        <v>1003</v>
      </c>
      <c r="E88" s="5" t="s">
        <v>20</v>
      </c>
      <c r="F88" s="5" t="s">
        <v>21</v>
      </c>
      <c r="G88" s="5" t="s">
        <v>22</v>
      </c>
      <c r="H88" s="5" t="s">
        <v>23</v>
      </c>
      <c r="I88" s="5" t="s">
        <v>980</v>
      </c>
      <c r="J88" s="5" t="s">
        <v>1556</v>
      </c>
      <c r="K88" s="5"/>
      <c r="L88" s="46" t="s">
        <v>672</v>
      </c>
      <c r="M88" s="5"/>
      <c r="N88" s="5"/>
      <c r="O88" s="5"/>
      <c r="P88" s="5"/>
    </row>
    <row r="89" spans="1:16" x14ac:dyDescent="0.25">
      <c r="A89" s="139" t="s">
        <v>979</v>
      </c>
      <c r="B89" s="140"/>
      <c r="C89" s="140"/>
      <c r="D89" s="140"/>
      <c r="E89" s="140"/>
      <c r="F89" s="140"/>
      <c r="G89" s="140"/>
      <c r="H89" s="140"/>
      <c r="I89" s="140"/>
      <c r="J89" s="140"/>
      <c r="K89" s="140"/>
      <c r="L89" s="140"/>
      <c r="M89" s="140"/>
      <c r="N89" s="140"/>
      <c r="O89" s="140"/>
      <c r="P89" s="140"/>
    </row>
    <row r="90" spans="1:16" ht="36" x14ac:dyDescent="0.25">
      <c r="A90" s="6"/>
      <c r="B90" s="51" t="s">
        <v>981</v>
      </c>
      <c r="C90" s="5" t="s">
        <v>1061</v>
      </c>
      <c r="D90" s="53" t="s">
        <v>987</v>
      </c>
      <c r="E90" s="54" t="s">
        <v>55</v>
      </c>
      <c r="F90" s="5" t="s">
        <v>21</v>
      </c>
      <c r="G90" s="5" t="s">
        <v>22</v>
      </c>
      <c r="H90" s="55" t="s">
        <v>983</v>
      </c>
      <c r="I90" s="51" t="s">
        <v>985</v>
      </c>
      <c r="J90" s="52" t="s">
        <v>989</v>
      </c>
      <c r="K90" s="5"/>
      <c r="L90" s="46" t="s">
        <v>672</v>
      </c>
      <c r="M90" s="5"/>
      <c r="N90" s="5"/>
      <c r="O90" s="5"/>
      <c r="P90" s="5"/>
    </row>
    <row r="91" spans="1:16" ht="36" x14ac:dyDescent="0.25">
      <c r="A91" s="4"/>
      <c r="B91" s="51" t="s">
        <v>981</v>
      </c>
      <c r="C91" s="5" t="s">
        <v>1062</v>
      </c>
      <c r="D91" s="53" t="s">
        <v>984</v>
      </c>
      <c r="E91" s="54" t="s">
        <v>55</v>
      </c>
      <c r="F91" s="5" t="s">
        <v>21</v>
      </c>
      <c r="G91" s="5" t="s">
        <v>22</v>
      </c>
      <c r="H91" s="55" t="s">
        <v>983</v>
      </c>
      <c r="I91" s="51" t="s">
        <v>988</v>
      </c>
      <c r="J91" s="52" t="s">
        <v>986</v>
      </c>
      <c r="K91" s="5"/>
      <c r="L91" s="46" t="s">
        <v>672</v>
      </c>
      <c r="M91" s="5"/>
      <c r="N91" s="5"/>
      <c r="O91" s="5"/>
      <c r="P91" s="5"/>
    </row>
    <row r="92" spans="1:16" x14ac:dyDescent="0.25">
      <c r="A92" s="139" t="s">
        <v>219</v>
      </c>
      <c r="B92" s="140"/>
      <c r="C92" s="140"/>
      <c r="D92" s="140"/>
      <c r="E92" s="140"/>
      <c r="F92" s="140"/>
      <c r="G92" s="140"/>
      <c r="H92" s="140"/>
      <c r="I92" s="140"/>
      <c r="J92" s="140"/>
      <c r="K92" s="140"/>
      <c r="L92" s="140"/>
      <c r="M92" s="140"/>
      <c r="N92" s="140"/>
      <c r="O92" s="140"/>
      <c r="P92" s="140"/>
    </row>
    <row r="93" spans="1:16" ht="72" x14ac:dyDescent="0.25">
      <c r="A93" s="4">
        <v>1</v>
      </c>
      <c r="B93" s="5" t="s">
        <v>17</v>
      </c>
      <c r="C93" s="5" t="s">
        <v>1063</v>
      </c>
      <c r="D93" s="5" t="s">
        <v>992</v>
      </c>
      <c r="E93" s="5" t="s">
        <v>20</v>
      </c>
      <c r="F93" s="5" t="s">
        <v>21</v>
      </c>
      <c r="G93" s="5" t="s">
        <v>22</v>
      </c>
      <c r="H93" s="5" t="s">
        <v>23</v>
      </c>
      <c r="I93" s="5" t="s">
        <v>945</v>
      </c>
      <c r="J93" s="5" t="s">
        <v>1510</v>
      </c>
      <c r="K93" s="5" t="s">
        <v>944</v>
      </c>
      <c r="L93" s="46" t="s">
        <v>672</v>
      </c>
      <c r="M93" s="5"/>
      <c r="N93" s="5"/>
      <c r="O93" s="5"/>
      <c r="P93" s="5"/>
    </row>
    <row r="94" spans="1:16" ht="48" x14ac:dyDescent="0.25">
      <c r="A94" s="4">
        <v>2</v>
      </c>
      <c r="B94" s="5" t="s">
        <v>17</v>
      </c>
      <c r="C94" s="5" t="s">
        <v>1064</v>
      </c>
      <c r="D94" s="5" t="s">
        <v>995</v>
      </c>
      <c r="E94" s="5" t="s">
        <v>20</v>
      </c>
      <c r="F94" s="5" t="s">
        <v>21</v>
      </c>
      <c r="G94" s="5" t="s">
        <v>22</v>
      </c>
      <c r="H94" s="5" t="s">
        <v>23</v>
      </c>
      <c r="I94" s="5" t="s">
        <v>946</v>
      </c>
      <c r="J94" s="5" t="s">
        <v>1511</v>
      </c>
      <c r="K94" s="5"/>
      <c r="L94" s="46" t="s">
        <v>672</v>
      </c>
      <c r="M94" s="5"/>
      <c r="N94" s="5"/>
      <c r="O94" s="5"/>
      <c r="P94" s="5"/>
    </row>
    <row r="95" spans="1:16" ht="48" x14ac:dyDescent="0.25">
      <c r="A95" s="4">
        <v>3</v>
      </c>
      <c r="B95" s="5" t="s">
        <v>17</v>
      </c>
      <c r="C95" s="5" t="s">
        <v>1065</v>
      </c>
      <c r="D95" s="5" t="s">
        <v>998</v>
      </c>
      <c r="E95" s="5" t="s">
        <v>20</v>
      </c>
      <c r="F95" s="5" t="s">
        <v>21</v>
      </c>
      <c r="G95" s="5" t="s">
        <v>22</v>
      </c>
      <c r="H95" s="5" t="s">
        <v>23</v>
      </c>
      <c r="I95" s="5" t="s">
        <v>947</v>
      </c>
      <c r="J95" s="5" t="s">
        <v>1512</v>
      </c>
      <c r="K95" s="5"/>
      <c r="L95" s="46" t="s">
        <v>672</v>
      </c>
      <c r="M95" s="5"/>
      <c r="N95" s="5"/>
      <c r="O95" s="5"/>
      <c r="P95" s="5"/>
    </row>
    <row r="96" spans="1:16" ht="36" x14ac:dyDescent="0.25">
      <c r="A96" s="4">
        <v>4</v>
      </c>
      <c r="B96" s="5" t="s">
        <v>17</v>
      </c>
      <c r="C96" s="5" t="s">
        <v>1066</v>
      </c>
      <c r="D96" s="5" t="s">
        <v>1001</v>
      </c>
      <c r="E96" s="5" t="s">
        <v>20</v>
      </c>
      <c r="F96" s="5" t="s">
        <v>21</v>
      </c>
      <c r="G96" s="5" t="s">
        <v>22</v>
      </c>
      <c r="H96" s="5" t="s">
        <v>23</v>
      </c>
      <c r="I96" s="5" t="s">
        <v>948</v>
      </c>
      <c r="J96" s="5" t="s">
        <v>1513</v>
      </c>
      <c r="K96" s="5"/>
      <c r="L96" s="46" t="s">
        <v>672</v>
      </c>
      <c r="M96" s="5"/>
      <c r="N96" s="5"/>
      <c r="O96" s="5"/>
      <c r="P96" s="5"/>
    </row>
    <row r="97" spans="1:16" ht="72" x14ac:dyDescent="0.25">
      <c r="A97" s="4">
        <v>1</v>
      </c>
      <c r="B97" s="5" t="s">
        <v>17</v>
      </c>
      <c r="C97" s="5" t="s">
        <v>1067</v>
      </c>
      <c r="D97" s="5" t="s">
        <v>993</v>
      </c>
      <c r="E97" s="5" t="s">
        <v>20</v>
      </c>
      <c r="F97" s="5" t="s">
        <v>21</v>
      </c>
      <c r="G97" s="5" t="s">
        <v>22</v>
      </c>
      <c r="H97" s="5" t="s">
        <v>23</v>
      </c>
      <c r="I97" s="5" t="s">
        <v>949</v>
      </c>
      <c r="J97" s="5" t="s">
        <v>1545</v>
      </c>
      <c r="K97" s="5" t="s">
        <v>944</v>
      </c>
      <c r="L97" s="46" t="s">
        <v>672</v>
      </c>
      <c r="M97" s="5"/>
      <c r="N97" s="5"/>
      <c r="O97" s="5"/>
      <c r="P97" s="5"/>
    </row>
    <row r="98" spans="1:16" ht="48" x14ac:dyDescent="0.25">
      <c r="A98" s="4">
        <v>2</v>
      </c>
      <c r="B98" s="5" t="s">
        <v>17</v>
      </c>
      <c r="C98" s="5" t="s">
        <v>1068</v>
      </c>
      <c r="D98" s="5" t="s">
        <v>996</v>
      </c>
      <c r="E98" s="5" t="s">
        <v>20</v>
      </c>
      <c r="F98" s="5" t="s">
        <v>21</v>
      </c>
      <c r="G98" s="5" t="s">
        <v>22</v>
      </c>
      <c r="H98" s="5" t="s">
        <v>23</v>
      </c>
      <c r="I98" s="5" t="s">
        <v>950</v>
      </c>
      <c r="J98" s="5" t="s">
        <v>1546</v>
      </c>
      <c r="K98" s="5"/>
      <c r="L98" s="46" t="s">
        <v>672</v>
      </c>
      <c r="M98" s="5"/>
      <c r="N98" s="5"/>
      <c r="O98" s="5"/>
      <c r="P98" s="5"/>
    </row>
    <row r="99" spans="1:16" ht="48" x14ac:dyDescent="0.25">
      <c r="A99" s="4">
        <v>3</v>
      </c>
      <c r="B99" s="5" t="s">
        <v>17</v>
      </c>
      <c r="C99" s="5" t="s">
        <v>1069</v>
      </c>
      <c r="D99" s="5" t="s">
        <v>999</v>
      </c>
      <c r="E99" s="5" t="s">
        <v>20</v>
      </c>
      <c r="F99" s="5" t="s">
        <v>21</v>
      </c>
      <c r="G99" s="5" t="s">
        <v>22</v>
      </c>
      <c r="H99" s="5" t="s">
        <v>23</v>
      </c>
      <c r="I99" s="5" t="s">
        <v>951</v>
      </c>
      <c r="J99" s="5" t="s">
        <v>1547</v>
      </c>
      <c r="K99" s="5"/>
      <c r="L99" s="46" t="s">
        <v>672</v>
      </c>
      <c r="M99" s="5"/>
      <c r="N99" s="5"/>
      <c r="O99" s="5"/>
      <c r="P99" s="5"/>
    </row>
    <row r="100" spans="1:16" ht="36" x14ac:dyDescent="0.25">
      <c r="A100" s="4">
        <v>4</v>
      </c>
      <c r="B100" s="5" t="s">
        <v>17</v>
      </c>
      <c r="C100" s="5" t="s">
        <v>1070</v>
      </c>
      <c r="D100" s="5" t="s">
        <v>1002</v>
      </c>
      <c r="E100" s="5" t="s">
        <v>20</v>
      </c>
      <c r="F100" s="5" t="s">
        <v>21</v>
      </c>
      <c r="G100" s="5" t="s">
        <v>22</v>
      </c>
      <c r="H100" s="5" t="s">
        <v>23</v>
      </c>
      <c r="I100" s="5" t="s">
        <v>952</v>
      </c>
      <c r="J100" s="5" t="s">
        <v>1548</v>
      </c>
      <c r="K100" s="5"/>
      <c r="L100" s="46" t="s">
        <v>672</v>
      </c>
      <c r="M100" s="5"/>
      <c r="N100" s="5"/>
      <c r="O100" s="5"/>
      <c r="P100" s="5"/>
    </row>
    <row r="101" spans="1:16" ht="72" x14ac:dyDescent="0.25">
      <c r="A101" s="4">
        <v>1</v>
      </c>
      <c r="B101" s="5" t="s">
        <v>17</v>
      </c>
      <c r="C101" s="5" t="s">
        <v>1071</v>
      </c>
      <c r="D101" s="5" t="s">
        <v>994</v>
      </c>
      <c r="E101" s="5" t="s">
        <v>20</v>
      </c>
      <c r="F101" s="5" t="s">
        <v>21</v>
      </c>
      <c r="G101" s="5" t="s">
        <v>22</v>
      </c>
      <c r="H101" s="5" t="s">
        <v>23</v>
      </c>
      <c r="I101" s="5" t="s">
        <v>961</v>
      </c>
      <c r="J101" s="5" t="s">
        <v>1549</v>
      </c>
      <c r="K101" s="5" t="s">
        <v>944</v>
      </c>
      <c r="L101" s="46" t="s">
        <v>672</v>
      </c>
      <c r="M101" s="5"/>
      <c r="N101" s="5"/>
      <c r="O101" s="5"/>
      <c r="P101" s="5"/>
    </row>
    <row r="102" spans="1:16" ht="60" x14ac:dyDescent="0.25">
      <c r="A102" s="4">
        <v>2</v>
      </c>
      <c r="B102" s="5" t="s">
        <v>17</v>
      </c>
      <c r="C102" s="5" t="s">
        <v>1072</v>
      </c>
      <c r="D102" s="5" t="s">
        <v>997</v>
      </c>
      <c r="E102" s="5" t="s">
        <v>20</v>
      </c>
      <c r="F102" s="5" t="s">
        <v>21</v>
      </c>
      <c r="G102" s="5" t="s">
        <v>22</v>
      </c>
      <c r="H102" s="5" t="s">
        <v>23</v>
      </c>
      <c r="I102" s="5" t="s">
        <v>962</v>
      </c>
      <c r="J102" s="5" t="s">
        <v>1550</v>
      </c>
      <c r="K102" s="5"/>
      <c r="L102" s="46" t="s">
        <v>672</v>
      </c>
      <c r="M102" s="5"/>
      <c r="N102" s="5"/>
      <c r="O102" s="5"/>
      <c r="P102" s="5"/>
    </row>
    <row r="103" spans="1:16" ht="60" x14ac:dyDescent="0.25">
      <c r="A103" s="4">
        <v>3</v>
      </c>
      <c r="B103" s="5" t="s">
        <v>17</v>
      </c>
      <c r="C103" s="5" t="s">
        <v>1073</v>
      </c>
      <c r="D103" s="5" t="s">
        <v>1000</v>
      </c>
      <c r="E103" s="5" t="s">
        <v>20</v>
      </c>
      <c r="F103" s="5" t="s">
        <v>21</v>
      </c>
      <c r="G103" s="5" t="s">
        <v>22</v>
      </c>
      <c r="H103" s="5" t="s">
        <v>23</v>
      </c>
      <c r="I103" s="5" t="s">
        <v>963</v>
      </c>
      <c r="J103" s="5" t="s">
        <v>1551</v>
      </c>
      <c r="K103" s="5"/>
      <c r="L103" s="46" t="s">
        <v>672</v>
      </c>
      <c r="M103" s="5"/>
      <c r="N103" s="5"/>
      <c r="O103" s="5"/>
      <c r="P103" s="5"/>
    </row>
    <row r="104" spans="1:16" ht="48" x14ac:dyDescent="0.25">
      <c r="A104" s="4">
        <v>4</v>
      </c>
      <c r="B104" s="5" t="s">
        <v>17</v>
      </c>
      <c r="C104" s="5" t="s">
        <v>1074</v>
      </c>
      <c r="D104" s="5" t="s">
        <v>1003</v>
      </c>
      <c r="E104" s="5" t="s">
        <v>20</v>
      </c>
      <c r="F104" s="5" t="s">
        <v>21</v>
      </c>
      <c r="G104" s="5" t="s">
        <v>22</v>
      </c>
      <c r="H104" s="5" t="s">
        <v>23</v>
      </c>
      <c r="I104" s="5" t="s">
        <v>964</v>
      </c>
      <c r="J104" s="5" t="s">
        <v>1552</v>
      </c>
      <c r="K104" s="5"/>
      <c r="L104" s="46" t="s">
        <v>672</v>
      </c>
      <c r="M104" s="5"/>
      <c r="N104" s="5"/>
      <c r="O104" s="5"/>
      <c r="P104" s="5"/>
    </row>
    <row r="105" spans="1:16" x14ac:dyDescent="0.25">
      <c r="A105" s="139" t="s">
        <v>965</v>
      </c>
      <c r="B105" s="140"/>
      <c r="C105" s="140"/>
      <c r="D105" s="140"/>
      <c r="E105" s="140"/>
      <c r="F105" s="140"/>
      <c r="G105" s="140"/>
      <c r="H105" s="140"/>
      <c r="I105" s="140"/>
      <c r="J105" s="140"/>
      <c r="K105" s="140"/>
      <c r="L105" s="140"/>
      <c r="M105" s="140"/>
      <c r="N105" s="140"/>
      <c r="O105" s="140"/>
      <c r="P105" s="140"/>
    </row>
    <row r="106" spans="1:16" ht="72" x14ac:dyDescent="0.25">
      <c r="A106" s="4">
        <v>1</v>
      </c>
      <c r="B106" s="5" t="s">
        <v>17</v>
      </c>
      <c r="C106" s="5" t="s">
        <v>1075</v>
      </c>
      <c r="D106" s="5" t="s">
        <v>992</v>
      </c>
      <c r="E106" s="5" t="s">
        <v>20</v>
      </c>
      <c r="F106" s="5" t="s">
        <v>21</v>
      </c>
      <c r="G106" s="5" t="s">
        <v>22</v>
      </c>
      <c r="H106" s="5" t="s">
        <v>23</v>
      </c>
      <c r="I106" s="5" t="s">
        <v>967</v>
      </c>
      <c r="J106" s="5" t="s">
        <v>1514</v>
      </c>
      <c r="K106" s="5" t="s">
        <v>944</v>
      </c>
      <c r="L106" s="46" t="s">
        <v>672</v>
      </c>
      <c r="M106" s="5"/>
      <c r="N106" s="5"/>
      <c r="O106" s="5"/>
      <c r="P106" s="5"/>
    </row>
    <row r="107" spans="1:16" ht="36" x14ac:dyDescent="0.25">
      <c r="A107" s="4">
        <v>2</v>
      </c>
      <c r="B107" s="5" t="s">
        <v>17</v>
      </c>
      <c r="C107" s="5" t="s">
        <v>1076</v>
      </c>
      <c r="D107" s="5" t="s">
        <v>995</v>
      </c>
      <c r="E107" s="5" t="s">
        <v>20</v>
      </c>
      <c r="F107" s="5" t="s">
        <v>21</v>
      </c>
      <c r="G107" s="5" t="s">
        <v>22</v>
      </c>
      <c r="H107" s="5" t="s">
        <v>23</v>
      </c>
      <c r="I107" s="5" t="s">
        <v>968</v>
      </c>
      <c r="J107" s="5" t="s">
        <v>1515</v>
      </c>
      <c r="K107" s="5"/>
      <c r="L107" s="46" t="s">
        <v>672</v>
      </c>
      <c r="M107" s="5"/>
      <c r="N107" s="5"/>
      <c r="O107" s="5"/>
      <c r="P107" s="5"/>
    </row>
    <row r="108" spans="1:16" ht="36" x14ac:dyDescent="0.25">
      <c r="A108" s="4">
        <v>3</v>
      </c>
      <c r="B108" s="5" t="s">
        <v>17</v>
      </c>
      <c r="C108" s="5" t="s">
        <v>1077</v>
      </c>
      <c r="D108" s="5" t="s">
        <v>998</v>
      </c>
      <c r="E108" s="5" t="s">
        <v>20</v>
      </c>
      <c r="F108" s="5" t="s">
        <v>21</v>
      </c>
      <c r="G108" s="5" t="s">
        <v>22</v>
      </c>
      <c r="H108" s="5" t="s">
        <v>23</v>
      </c>
      <c r="I108" s="5" t="s">
        <v>969</v>
      </c>
      <c r="J108" s="5" t="s">
        <v>1516</v>
      </c>
      <c r="K108" s="5"/>
      <c r="L108" s="46" t="s">
        <v>672</v>
      </c>
      <c r="M108" s="5"/>
      <c r="N108" s="5"/>
      <c r="O108" s="5"/>
      <c r="P108" s="5"/>
    </row>
    <row r="109" spans="1:16" ht="36" x14ac:dyDescent="0.25">
      <c r="A109" s="4">
        <v>4</v>
      </c>
      <c r="B109" s="5" t="s">
        <v>17</v>
      </c>
      <c r="C109" s="5" t="s">
        <v>1078</v>
      </c>
      <c r="D109" s="5" t="s">
        <v>1001</v>
      </c>
      <c r="E109" s="5" t="s">
        <v>20</v>
      </c>
      <c r="F109" s="5" t="s">
        <v>21</v>
      </c>
      <c r="G109" s="5" t="s">
        <v>22</v>
      </c>
      <c r="H109" s="5" t="s">
        <v>23</v>
      </c>
      <c r="I109" s="5" t="s">
        <v>970</v>
      </c>
      <c r="J109" s="5" t="s">
        <v>1514</v>
      </c>
      <c r="K109" s="5"/>
      <c r="L109" s="46" t="s">
        <v>672</v>
      </c>
      <c r="M109" s="5"/>
      <c r="N109" s="5"/>
      <c r="O109" s="5"/>
      <c r="P109" s="5"/>
    </row>
    <row r="110" spans="1:16" ht="72" x14ac:dyDescent="0.25">
      <c r="A110" s="4">
        <v>1</v>
      </c>
      <c r="B110" s="5" t="s">
        <v>17</v>
      </c>
      <c r="C110" s="5" t="s">
        <v>1079</v>
      </c>
      <c r="D110" s="5" t="s">
        <v>993</v>
      </c>
      <c r="E110" s="5" t="s">
        <v>20</v>
      </c>
      <c r="F110" s="5" t="s">
        <v>21</v>
      </c>
      <c r="G110" s="5" t="s">
        <v>22</v>
      </c>
      <c r="H110" s="5" t="s">
        <v>23</v>
      </c>
      <c r="I110" s="5" t="s">
        <v>971</v>
      </c>
      <c r="J110" s="5" t="s">
        <v>1553</v>
      </c>
      <c r="K110" s="5" t="s">
        <v>944</v>
      </c>
      <c r="L110" s="46" t="s">
        <v>672</v>
      </c>
      <c r="M110" s="5"/>
      <c r="N110" s="5"/>
      <c r="O110" s="5"/>
      <c r="P110" s="5"/>
    </row>
    <row r="111" spans="1:16" ht="36" x14ac:dyDescent="0.25">
      <c r="A111" s="4">
        <v>2</v>
      </c>
      <c r="B111" s="5" t="s">
        <v>17</v>
      </c>
      <c r="C111" s="5" t="s">
        <v>1080</v>
      </c>
      <c r="D111" s="5" t="s">
        <v>996</v>
      </c>
      <c r="E111" s="5" t="s">
        <v>20</v>
      </c>
      <c r="F111" s="5" t="s">
        <v>21</v>
      </c>
      <c r="G111" s="5" t="s">
        <v>22</v>
      </c>
      <c r="H111" s="5" t="s">
        <v>23</v>
      </c>
      <c r="I111" s="5" t="s">
        <v>972</v>
      </c>
      <c r="J111" s="5" t="s">
        <v>1554</v>
      </c>
      <c r="K111" s="5"/>
      <c r="L111" s="46" t="s">
        <v>672</v>
      </c>
      <c r="M111" s="5"/>
      <c r="N111" s="5"/>
      <c r="O111" s="5"/>
      <c r="P111" s="5"/>
    </row>
    <row r="112" spans="1:16" ht="36" x14ac:dyDescent="0.25">
      <c r="A112" s="4">
        <v>3</v>
      </c>
      <c r="B112" s="5" t="s">
        <v>17</v>
      </c>
      <c r="C112" s="5" t="s">
        <v>1081</v>
      </c>
      <c r="D112" s="5" t="s">
        <v>999</v>
      </c>
      <c r="E112" s="5" t="s">
        <v>20</v>
      </c>
      <c r="F112" s="5" t="s">
        <v>21</v>
      </c>
      <c r="G112" s="5" t="s">
        <v>22</v>
      </c>
      <c r="H112" s="5" t="s">
        <v>23</v>
      </c>
      <c r="I112" s="5" t="s">
        <v>973</v>
      </c>
      <c r="J112" s="5" t="s">
        <v>1555</v>
      </c>
      <c r="K112" s="5"/>
      <c r="L112" s="46" t="s">
        <v>672</v>
      </c>
      <c r="M112" s="5"/>
      <c r="N112" s="5"/>
      <c r="O112" s="5"/>
      <c r="P112" s="5"/>
    </row>
    <row r="113" spans="1:16" ht="36" x14ac:dyDescent="0.25">
      <c r="A113" s="4">
        <v>4</v>
      </c>
      <c r="B113" s="5" t="s">
        <v>17</v>
      </c>
      <c r="C113" s="5" t="s">
        <v>1082</v>
      </c>
      <c r="D113" s="5" t="s">
        <v>1002</v>
      </c>
      <c r="E113" s="5" t="s">
        <v>20</v>
      </c>
      <c r="F113" s="5" t="s">
        <v>21</v>
      </c>
      <c r="G113" s="5" t="s">
        <v>22</v>
      </c>
      <c r="H113" s="5" t="s">
        <v>23</v>
      </c>
      <c r="I113" s="5" t="s">
        <v>974</v>
      </c>
      <c r="J113" s="5" t="s">
        <v>1553</v>
      </c>
      <c r="K113" s="5"/>
      <c r="L113" s="46" t="s">
        <v>672</v>
      </c>
      <c r="M113" s="5"/>
      <c r="N113" s="5"/>
      <c r="O113" s="5"/>
      <c r="P113" s="5"/>
    </row>
    <row r="114" spans="1:16" ht="72" x14ac:dyDescent="0.25">
      <c r="A114" s="4">
        <v>1</v>
      </c>
      <c r="B114" s="5" t="s">
        <v>17</v>
      </c>
      <c r="C114" s="5" t="s">
        <v>1083</v>
      </c>
      <c r="D114" s="5" t="s">
        <v>994</v>
      </c>
      <c r="E114" s="5" t="s">
        <v>20</v>
      </c>
      <c r="F114" s="5" t="s">
        <v>21</v>
      </c>
      <c r="G114" s="5" t="s">
        <v>22</v>
      </c>
      <c r="H114" s="5" t="s">
        <v>23</v>
      </c>
      <c r="I114" s="5" t="s">
        <v>975</v>
      </c>
      <c r="J114" s="5" t="s">
        <v>1556</v>
      </c>
      <c r="K114" s="5" t="s">
        <v>944</v>
      </c>
      <c r="L114" s="46" t="s">
        <v>672</v>
      </c>
      <c r="M114" s="5"/>
      <c r="N114" s="5"/>
      <c r="O114" s="5"/>
      <c r="P114" s="5"/>
    </row>
    <row r="115" spans="1:16" ht="48" x14ac:dyDescent="0.25">
      <c r="A115" s="4">
        <v>2</v>
      </c>
      <c r="B115" s="5" t="s">
        <v>17</v>
      </c>
      <c r="C115" s="5" t="s">
        <v>1084</v>
      </c>
      <c r="D115" s="5" t="s">
        <v>997</v>
      </c>
      <c r="E115" s="5" t="s">
        <v>20</v>
      </c>
      <c r="F115" s="5" t="s">
        <v>21</v>
      </c>
      <c r="G115" s="5" t="s">
        <v>22</v>
      </c>
      <c r="H115" s="5" t="s">
        <v>23</v>
      </c>
      <c r="I115" s="5" t="s">
        <v>976</v>
      </c>
      <c r="J115" s="5" t="s">
        <v>1557</v>
      </c>
      <c r="K115" s="5"/>
      <c r="L115" s="46" t="s">
        <v>672</v>
      </c>
      <c r="M115" s="5"/>
      <c r="N115" s="5"/>
      <c r="O115" s="5"/>
      <c r="P115" s="5"/>
    </row>
    <row r="116" spans="1:16" ht="48" x14ac:dyDescent="0.25">
      <c r="A116" s="4">
        <v>3</v>
      </c>
      <c r="B116" s="5" t="s">
        <v>17</v>
      </c>
      <c r="C116" s="5" t="s">
        <v>1085</v>
      </c>
      <c r="D116" s="5" t="s">
        <v>1000</v>
      </c>
      <c r="E116" s="5" t="s">
        <v>20</v>
      </c>
      <c r="F116" s="5" t="s">
        <v>21</v>
      </c>
      <c r="G116" s="5" t="s">
        <v>22</v>
      </c>
      <c r="H116" s="5" t="s">
        <v>23</v>
      </c>
      <c r="I116" s="5" t="s">
        <v>977</v>
      </c>
      <c r="J116" s="5" t="s">
        <v>1558</v>
      </c>
      <c r="K116" s="5"/>
      <c r="L116" s="46" t="s">
        <v>672</v>
      </c>
      <c r="M116" s="5"/>
      <c r="N116" s="5"/>
      <c r="O116" s="5"/>
      <c r="P116" s="5"/>
    </row>
    <row r="117" spans="1:16" ht="36" x14ac:dyDescent="0.25">
      <c r="A117" s="4">
        <v>4</v>
      </c>
      <c r="B117" s="5" t="s">
        <v>17</v>
      </c>
      <c r="C117" s="5" t="s">
        <v>1086</v>
      </c>
      <c r="D117" s="5" t="s">
        <v>1003</v>
      </c>
      <c r="E117" s="5" t="s">
        <v>20</v>
      </c>
      <c r="F117" s="5" t="s">
        <v>21</v>
      </c>
      <c r="G117" s="5" t="s">
        <v>22</v>
      </c>
      <c r="H117" s="5" t="s">
        <v>23</v>
      </c>
      <c r="I117" s="5" t="s">
        <v>978</v>
      </c>
      <c r="J117" s="5" t="s">
        <v>1556</v>
      </c>
      <c r="K117" s="5"/>
      <c r="L117" s="46" t="s">
        <v>672</v>
      </c>
      <c r="M117" s="5"/>
      <c r="N117" s="5"/>
      <c r="O117" s="5"/>
      <c r="P117" s="5"/>
    </row>
    <row r="118" spans="1:16" x14ac:dyDescent="0.25">
      <c r="A118" s="139" t="s">
        <v>979</v>
      </c>
      <c r="B118" s="140"/>
      <c r="C118" s="140"/>
      <c r="D118" s="140"/>
      <c r="E118" s="140"/>
      <c r="F118" s="140"/>
      <c r="G118" s="140"/>
      <c r="H118" s="140"/>
      <c r="I118" s="140"/>
      <c r="J118" s="140"/>
      <c r="K118" s="140"/>
      <c r="L118" s="140"/>
      <c r="M118" s="140"/>
      <c r="N118" s="140"/>
      <c r="O118" s="140"/>
      <c r="P118" s="140"/>
    </row>
    <row r="119" spans="1:16" ht="36" x14ac:dyDescent="0.25">
      <c r="A119" s="6"/>
      <c r="B119" s="51" t="s">
        <v>981</v>
      </c>
      <c r="C119" s="5" t="s">
        <v>1087</v>
      </c>
      <c r="D119" s="53" t="s">
        <v>987</v>
      </c>
      <c r="E119" s="54" t="s">
        <v>55</v>
      </c>
      <c r="F119" s="5" t="s">
        <v>21</v>
      </c>
      <c r="G119" s="5" t="s">
        <v>22</v>
      </c>
      <c r="H119" s="55" t="s">
        <v>983</v>
      </c>
      <c r="I119" s="51" t="s">
        <v>985</v>
      </c>
      <c r="J119" s="52" t="s">
        <v>989</v>
      </c>
      <c r="K119" s="5"/>
      <c r="L119" s="46" t="s">
        <v>672</v>
      </c>
      <c r="M119" s="5"/>
      <c r="N119" s="5"/>
      <c r="O119" s="5"/>
      <c r="P119" s="5"/>
    </row>
    <row r="120" spans="1:16" ht="36" x14ac:dyDescent="0.25">
      <c r="A120" s="4"/>
      <c r="B120" s="51" t="s">
        <v>981</v>
      </c>
      <c r="C120" s="5" t="s">
        <v>1088</v>
      </c>
      <c r="D120" s="53" t="s">
        <v>984</v>
      </c>
      <c r="E120" s="54" t="s">
        <v>55</v>
      </c>
      <c r="F120" s="5" t="s">
        <v>21</v>
      </c>
      <c r="G120" s="5" t="s">
        <v>22</v>
      </c>
      <c r="H120" s="55" t="s">
        <v>983</v>
      </c>
      <c r="I120" s="51" t="s">
        <v>988</v>
      </c>
      <c r="J120" s="52" t="s">
        <v>986</v>
      </c>
      <c r="K120" s="5"/>
      <c r="L120" s="46" t="s">
        <v>672</v>
      </c>
      <c r="M120" s="5"/>
      <c r="N120" s="5"/>
      <c r="O120" s="5"/>
      <c r="P120" s="5"/>
    </row>
  </sheetData>
  <mergeCells count="23">
    <mergeCell ref="G2:G3"/>
    <mergeCell ref="J2:J3"/>
    <mergeCell ref="H2:H3"/>
    <mergeCell ref="A18:P18"/>
    <mergeCell ref="A31:P31"/>
    <mergeCell ref="A60:P60"/>
    <mergeCell ref="A76:P76"/>
    <mergeCell ref="L2:L3"/>
    <mergeCell ref="A5:P5"/>
    <mergeCell ref="A34:P34"/>
    <mergeCell ref="I2:I3"/>
    <mergeCell ref="A47:P47"/>
    <mergeCell ref="K2:K3"/>
    <mergeCell ref="M2:M3"/>
    <mergeCell ref="B2:B3"/>
    <mergeCell ref="A2:A3"/>
    <mergeCell ref="A4:P4"/>
    <mergeCell ref="C2:F2"/>
    <mergeCell ref="A89:P89"/>
    <mergeCell ref="A92:P92"/>
    <mergeCell ref="A105:P105"/>
    <mergeCell ref="A118:P118"/>
    <mergeCell ref="A63:P63"/>
  </mergeCells>
  <phoneticPr fontId="4" type="noConversion"/>
  <conditionalFormatting sqref="L6:L9">
    <cfRule type="cellIs" dxfId="143" priority="28" operator="equal">
      <formula>"Fail"</formula>
    </cfRule>
  </conditionalFormatting>
  <conditionalFormatting sqref="L10:L13">
    <cfRule type="cellIs" dxfId="142" priority="27" operator="equal">
      <formula>"Fail"</formula>
    </cfRule>
  </conditionalFormatting>
  <conditionalFormatting sqref="L14:L17">
    <cfRule type="cellIs" dxfId="141" priority="26" operator="equal">
      <formula>"Fail"</formula>
    </cfRule>
  </conditionalFormatting>
  <conditionalFormatting sqref="L19:L22">
    <cfRule type="cellIs" dxfId="140" priority="25" operator="equal">
      <formula>"Fail"</formula>
    </cfRule>
  </conditionalFormatting>
  <conditionalFormatting sqref="L23:L26">
    <cfRule type="cellIs" dxfId="139" priority="24" operator="equal">
      <formula>"Fail"</formula>
    </cfRule>
  </conditionalFormatting>
  <conditionalFormatting sqref="L27:L30">
    <cfRule type="cellIs" dxfId="138" priority="23" operator="equal">
      <formula>"Fail"</formula>
    </cfRule>
  </conditionalFormatting>
  <conditionalFormatting sqref="L35:L38">
    <cfRule type="cellIs" dxfId="137" priority="22" operator="equal">
      <formula>"Fail"</formula>
    </cfRule>
  </conditionalFormatting>
  <conditionalFormatting sqref="L39:L42">
    <cfRule type="cellIs" dxfId="136" priority="21" operator="equal">
      <formula>"Fail"</formula>
    </cfRule>
  </conditionalFormatting>
  <conditionalFormatting sqref="L43:L46">
    <cfRule type="cellIs" dxfId="135" priority="20" operator="equal">
      <formula>"Fail"</formula>
    </cfRule>
  </conditionalFormatting>
  <conditionalFormatting sqref="L48:L51">
    <cfRule type="cellIs" dxfId="134" priority="19" operator="equal">
      <formula>"Fail"</formula>
    </cfRule>
  </conditionalFormatting>
  <conditionalFormatting sqref="L52:L55">
    <cfRule type="cellIs" dxfId="133" priority="18" operator="equal">
      <formula>"Fail"</formula>
    </cfRule>
  </conditionalFormatting>
  <conditionalFormatting sqref="L56:L59">
    <cfRule type="cellIs" dxfId="132" priority="17" operator="equal">
      <formula>"Fail"</formula>
    </cfRule>
  </conditionalFormatting>
  <conditionalFormatting sqref="L32:L33">
    <cfRule type="cellIs" dxfId="131" priority="16" operator="equal">
      <formula>"Fail"</formula>
    </cfRule>
  </conditionalFormatting>
  <conditionalFormatting sqref="L61:L62">
    <cfRule type="cellIs" dxfId="130" priority="15" operator="equal">
      <formula>"Fail"</formula>
    </cfRule>
  </conditionalFormatting>
  <conditionalFormatting sqref="L64:L67">
    <cfRule type="cellIs" dxfId="129" priority="14" operator="equal">
      <formula>"Fail"</formula>
    </cfRule>
  </conditionalFormatting>
  <conditionalFormatting sqref="L68:L71">
    <cfRule type="cellIs" dxfId="128" priority="13" operator="equal">
      <formula>"Fail"</formula>
    </cfRule>
  </conditionalFormatting>
  <conditionalFormatting sqref="L72:L75">
    <cfRule type="cellIs" dxfId="127" priority="12" operator="equal">
      <formula>"Fail"</formula>
    </cfRule>
  </conditionalFormatting>
  <conditionalFormatting sqref="L77:L80">
    <cfRule type="cellIs" dxfId="126" priority="11" operator="equal">
      <formula>"Fail"</formula>
    </cfRule>
  </conditionalFormatting>
  <conditionalFormatting sqref="L81:L84">
    <cfRule type="cellIs" dxfId="125" priority="10" operator="equal">
      <formula>"Fail"</formula>
    </cfRule>
  </conditionalFormatting>
  <conditionalFormatting sqref="L85:L88">
    <cfRule type="cellIs" dxfId="124" priority="9" operator="equal">
      <formula>"Fail"</formula>
    </cfRule>
  </conditionalFormatting>
  <conditionalFormatting sqref="L93:L96">
    <cfRule type="cellIs" dxfId="123" priority="8" operator="equal">
      <formula>"Fail"</formula>
    </cfRule>
  </conditionalFormatting>
  <conditionalFormatting sqref="L97:L100">
    <cfRule type="cellIs" dxfId="122" priority="7" operator="equal">
      <formula>"Fail"</formula>
    </cfRule>
  </conditionalFormatting>
  <conditionalFormatting sqref="L101:L104">
    <cfRule type="cellIs" dxfId="121" priority="6" operator="equal">
      <formula>"Fail"</formula>
    </cfRule>
  </conditionalFormatting>
  <conditionalFormatting sqref="L106:L109">
    <cfRule type="cellIs" dxfId="120" priority="5" operator="equal">
      <formula>"Fail"</formula>
    </cfRule>
  </conditionalFormatting>
  <conditionalFormatting sqref="L110:L113">
    <cfRule type="cellIs" dxfId="119" priority="4" operator="equal">
      <formula>"Fail"</formula>
    </cfRule>
  </conditionalFormatting>
  <conditionalFormatting sqref="L114:L117">
    <cfRule type="cellIs" dxfId="118" priority="3" operator="equal">
      <formula>"Fail"</formula>
    </cfRule>
  </conditionalFormatting>
  <conditionalFormatting sqref="L90:L91">
    <cfRule type="cellIs" dxfId="117" priority="2" operator="equal">
      <formula>"Fail"</formula>
    </cfRule>
  </conditionalFormatting>
  <conditionalFormatting sqref="L119:L120">
    <cfRule type="cellIs" dxfId="116" priority="1" operator="equal">
      <formula>"Fail"</formula>
    </cfRule>
  </conditionalFormatting>
  <dataValidations count="2">
    <dataValidation type="list" allowBlank="1" showInputMessage="1" showErrorMessage="1" sqref="L6:L17 L48:L59 L35:L46 L19:L30 L32:L33 L61:L62 L64:L75 L106:L117 L93:L104 L77:L88 L90:L91 L119:L120">
      <formula1>"Pass,Fail,Not Apply,Block,Skip"</formula1>
    </dataValidation>
    <dataValidation type="list" allowBlank="1" showInputMessage="1" showErrorMessage="1" sqref="E32:E33 E61:E62 E90:E91 E119:E120">
      <formula1>"High,Medium,Low"</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8"/>
  <sheetViews>
    <sheetView workbookViewId="0">
      <selection activeCell="G8" sqref="G8"/>
    </sheetView>
  </sheetViews>
  <sheetFormatPr defaultRowHeight="14.4" x14ac:dyDescent="0.25"/>
  <cols>
    <col min="1" max="1" width="12" customWidth="1"/>
    <col min="2" max="2" width="18" customWidth="1"/>
    <col min="3" max="3" width="14.5546875" customWidth="1"/>
    <col min="4" max="4" width="28.21875" customWidth="1"/>
    <col min="5" max="5" width="8" customWidth="1"/>
    <col min="6" max="6" width="10" customWidth="1"/>
    <col min="7" max="7" width="16" customWidth="1"/>
    <col min="8" max="8" width="14" customWidth="1"/>
    <col min="9" max="9" width="50" customWidth="1"/>
    <col min="10" max="10" width="39.77734375" customWidth="1"/>
    <col min="11" max="11" width="17.5546875"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236</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48" x14ac:dyDescent="0.25">
      <c r="A6" s="4">
        <v>1</v>
      </c>
      <c r="B6" s="5" t="s">
        <v>17</v>
      </c>
      <c r="C6" s="5" t="s">
        <v>1403</v>
      </c>
      <c r="D6" s="5" t="s">
        <v>237</v>
      </c>
      <c r="E6" s="5" t="s">
        <v>20</v>
      </c>
      <c r="F6" s="5" t="s">
        <v>21</v>
      </c>
      <c r="G6" s="5" t="s">
        <v>22</v>
      </c>
      <c r="H6" s="5" t="s">
        <v>23</v>
      </c>
      <c r="I6" s="5" t="s">
        <v>1404</v>
      </c>
      <c r="J6" s="5" t="s">
        <v>1517</v>
      </c>
      <c r="K6" s="5" t="s">
        <v>1402</v>
      </c>
      <c r="L6" s="46" t="s">
        <v>672</v>
      </c>
      <c r="M6" s="5"/>
      <c r="N6" s="5"/>
      <c r="O6" s="5"/>
      <c r="P6" s="5"/>
    </row>
    <row r="7" spans="1:16" ht="41.4" customHeight="1" x14ac:dyDescent="0.25">
      <c r="A7" s="4">
        <v>2</v>
      </c>
      <c r="B7" s="5" t="s">
        <v>17</v>
      </c>
      <c r="C7" s="5" t="s">
        <v>239</v>
      </c>
      <c r="D7" s="5" t="s">
        <v>240</v>
      </c>
      <c r="E7" s="5" t="s">
        <v>20</v>
      </c>
      <c r="F7" s="5" t="s">
        <v>21</v>
      </c>
      <c r="G7" s="5" t="s">
        <v>22</v>
      </c>
      <c r="H7" s="5" t="s">
        <v>23</v>
      </c>
      <c r="I7" s="5" t="s">
        <v>1845</v>
      </c>
      <c r="J7" s="5" t="s">
        <v>1518</v>
      </c>
      <c r="K7" s="5" t="s">
        <v>1707</v>
      </c>
      <c r="L7" s="46" t="s">
        <v>672</v>
      </c>
      <c r="M7" s="5"/>
      <c r="N7" s="5"/>
      <c r="O7" s="5"/>
      <c r="P7" s="5"/>
    </row>
    <row r="8" spans="1:16" ht="150" customHeight="1" x14ac:dyDescent="0.25">
      <c r="A8" s="4">
        <v>3</v>
      </c>
      <c r="B8" s="5" t="s">
        <v>17</v>
      </c>
      <c r="C8" s="5" t="s">
        <v>241</v>
      </c>
      <c r="D8" s="5" t="s">
        <v>242</v>
      </c>
      <c r="E8" s="5" t="s">
        <v>20</v>
      </c>
      <c r="F8" s="5" t="s">
        <v>2036</v>
      </c>
      <c r="G8" s="5" t="s">
        <v>22</v>
      </c>
      <c r="H8" s="5" t="s">
        <v>23</v>
      </c>
      <c r="I8" s="5" t="s">
        <v>1844</v>
      </c>
      <c r="J8" s="5" t="s">
        <v>243</v>
      </c>
      <c r="K8" s="5" t="s">
        <v>1751</v>
      </c>
      <c r="L8" s="46" t="s">
        <v>672</v>
      </c>
      <c r="M8" s="5"/>
      <c r="N8" s="5"/>
      <c r="O8" s="5"/>
      <c r="P8" s="5"/>
    </row>
    <row r="9" spans="1:16" ht="144" x14ac:dyDescent="0.25">
      <c r="A9" s="4">
        <v>4</v>
      </c>
      <c r="B9" s="5" t="s">
        <v>17</v>
      </c>
      <c r="C9" s="5" t="s">
        <v>244</v>
      </c>
      <c r="D9" s="5" t="s">
        <v>245</v>
      </c>
      <c r="E9" s="5" t="s">
        <v>20</v>
      </c>
      <c r="F9" s="5" t="s">
        <v>21</v>
      </c>
      <c r="G9" s="5" t="s">
        <v>22</v>
      </c>
      <c r="H9" s="5" t="s">
        <v>23</v>
      </c>
      <c r="I9" s="5" t="s">
        <v>1560</v>
      </c>
      <c r="J9" s="5" t="s">
        <v>246</v>
      </c>
      <c r="K9" s="5"/>
      <c r="L9" s="46" t="s">
        <v>672</v>
      </c>
      <c r="M9" s="5"/>
      <c r="N9" s="5"/>
      <c r="O9" s="5"/>
      <c r="P9" s="5"/>
    </row>
    <row r="10" spans="1:16" ht="60" x14ac:dyDescent="0.25">
      <c r="A10" s="4">
        <v>5</v>
      </c>
      <c r="B10" s="5" t="s">
        <v>17</v>
      </c>
      <c r="C10" s="5" t="s">
        <v>247</v>
      </c>
      <c r="D10" s="5" t="s">
        <v>248</v>
      </c>
      <c r="E10" s="5" t="s">
        <v>20</v>
      </c>
      <c r="F10" s="5" t="s">
        <v>21</v>
      </c>
      <c r="G10" s="5" t="s">
        <v>22</v>
      </c>
      <c r="H10" s="5" t="s">
        <v>23</v>
      </c>
      <c r="I10" s="5" t="s">
        <v>1561</v>
      </c>
      <c r="J10" s="5" t="s">
        <v>243</v>
      </c>
      <c r="K10" s="5"/>
      <c r="L10" s="46" t="s">
        <v>672</v>
      </c>
      <c r="M10" s="5"/>
      <c r="N10" s="5"/>
      <c r="O10" s="5"/>
      <c r="P10" s="5"/>
    </row>
    <row r="11" spans="1:16" ht="60" x14ac:dyDescent="0.25">
      <c r="A11" s="4">
        <v>6</v>
      </c>
      <c r="B11" s="5" t="s">
        <v>17</v>
      </c>
      <c r="C11" s="5" t="s">
        <v>249</v>
      </c>
      <c r="D11" s="5" t="s">
        <v>250</v>
      </c>
      <c r="E11" s="5" t="s">
        <v>20</v>
      </c>
      <c r="F11" s="5" t="s">
        <v>21</v>
      </c>
      <c r="G11" s="5" t="s">
        <v>22</v>
      </c>
      <c r="H11" s="5" t="s">
        <v>23</v>
      </c>
      <c r="I11" s="5" t="s">
        <v>1562</v>
      </c>
      <c r="J11" s="5" t="s">
        <v>246</v>
      </c>
      <c r="K11" s="5"/>
      <c r="L11" s="46" t="s">
        <v>672</v>
      </c>
      <c r="M11" s="5"/>
      <c r="N11" s="5"/>
      <c r="O11" s="5"/>
      <c r="P11" s="5"/>
    </row>
    <row r="12" spans="1:16" x14ac:dyDescent="0.25">
      <c r="A12" s="139" t="s">
        <v>251</v>
      </c>
      <c r="B12" s="140"/>
      <c r="C12" s="140"/>
      <c r="D12" s="140"/>
      <c r="E12" s="140"/>
      <c r="F12" s="140"/>
      <c r="G12" s="140"/>
      <c r="H12" s="140"/>
      <c r="I12" s="140"/>
      <c r="J12" s="140"/>
      <c r="K12" s="140"/>
      <c r="L12" s="140"/>
      <c r="M12" s="140"/>
      <c r="N12" s="140"/>
      <c r="O12" s="140"/>
      <c r="P12" s="140"/>
    </row>
    <row r="13" spans="1:16" ht="60" x14ac:dyDescent="0.25">
      <c r="A13" s="4">
        <v>7</v>
      </c>
      <c r="B13" s="5" t="s">
        <v>17</v>
      </c>
      <c r="C13" s="5" t="s">
        <v>252</v>
      </c>
      <c r="D13" s="5" t="s">
        <v>253</v>
      </c>
      <c r="E13" s="5" t="s">
        <v>20</v>
      </c>
      <c r="F13" s="5" t="s">
        <v>21</v>
      </c>
      <c r="G13" s="5" t="s">
        <v>22</v>
      </c>
      <c r="H13" s="5" t="s">
        <v>23</v>
      </c>
      <c r="I13" s="5" t="s">
        <v>1563</v>
      </c>
      <c r="J13" s="5" t="s">
        <v>254</v>
      </c>
      <c r="K13" s="5"/>
      <c r="L13" s="46" t="s">
        <v>672</v>
      </c>
      <c r="M13" s="5"/>
      <c r="N13" s="5"/>
      <c r="O13" s="5"/>
      <c r="P13" s="5"/>
    </row>
    <row r="14" spans="1:16" ht="48" x14ac:dyDescent="0.25">
      <c r="A14" s="4">
        <v>8</v>
      </c>
      <c r="B14" s="5" t="s">
        <v>17</v>
      </c>
      <c r="C14" s="5" t="s">
        <v>255</v>
      </c>
      <c r="D14" s="5" t="s">
        <v>256</v>
      </c>
      <c r="E14" s="5" t="s">
        <v>20</v>
      </c>
      <c r="F14" s="5" t="s">
        <v>21</v>
      </c>
      <c r="G14" s="5" t="s">
        <v>22</v>
      </c>
      <c r="H14" s="5" t="s">
        <v>23</v>
      </c>
      <c r="I14" s="5" t="s">
        <v>1564</v>
      </c>
      <c r="J14" s="5" t="s">
        <v>257</v>
      </c>
      <c r="K14" s="5"/>
      <c r="L14" s="46" t="s">
        <v>672</v>
      </c>
      <c r="M14" s="5"/>
      <c r="N14" s="5"/>
      <c r="O14" s="5"/>
      <c r="P14" s="5"/>
    </row>
    <row r="15" spans="1:16" ht="60" x14ac:dyDescent="0.25">
      <c r="A15" s="4">
        <v>9</v>
      </c>
      <c r="B15" s="5" t="s">
        <v>17</v>
      </c>
      <c r="C15" s="5" t="s">
        <v>258</v>
      </c>
      <c r="D15" s="5" t="s">
        <v>259</v>
      </c>
      <c r="E15" s="5" t="s">
        <v>20</v>
      </c>
      <c r="F15" s="5" t="s">
        <v>21</v>
      </c>
      <c r="G15" s="5" t="s">
        <v>22</v>
      </c>
      <c r="H15" s="5" t="s">
        <v>23</v>
      </c>
      <c r="I15" s="5" t="s">
        <v>1561</v>
      </c>
      <c r="J15" s="5" t="s">
        <v>243</v>
      </c>
      <c r="K15" s="5"/>
      <c r="L15" s="46" t="s">
        <v>672</v>
      </c>
      <c r="M15" s="5"/>
      <c r="N15" s="5"/>
      <c r="O15" s="5"/>
      <c r="P15" s="5"/>
    </row>
    <row r="16" spans="1:16" ht="60" x14ac:dyDescent="0.25">
      <c r="A16" s="4">
        <v>10</v>
      </c>
      <c r="B16" s="5" t="s">
        <v>17</v>
      </c>
      <c r="C16" s="5" t="s">
        <v>260</v>
      </c>
      <c r="D16" s="5" t="s">
        <v>261</v>
      </c>
      <c r="E16" s="5" t="s">
        <v>20</v>
      </c>
      <c r="F16" s="5" t="s">
        <v>21</v>
      </c>
      <c r="G16" s="5" t="s">
        <v>22</v>
      </c>
      <c r="H16" s="5" t="s">
        <v>23</v>
      </c>
      <c r="I16" s="5" t="s">
        <v>1565</v>
      </c>
      <c r="J16" s="5" t="s">
        <v>254</v>
      </c>
      <c r="K16" s="5"/>
      <c r="L16" s="46" t="s">
        <v>672</v>
      </c>
      <c r="M16" s="5"/>
      <c r="N16" s="5"/>
      <c r="O16" s="5"/>
      <c r="P16" s="5"/>
    </row>
    <row r="17" spans="1:16" ht="60" x14ac:dyDescent="0.25">
      <c r="A17" s="4">
        <v>11</v>
      </c>
      <c r="B17" s="5" t="s">
        <v>17</v>
      </c>
      <c r="C17" s="5" t="s">
        <v>262</v>
      </c>
      <c r="D17" s="5" t="s">
        <v>263</v>
      </c>
      <c r="E17" s="5" t="s">
        <v>20</v>
      </c>
      <c r="F17" s="5" t="s">
        <v>21</v>
      </c>
      <c r="G17" s="5" t="s">
        <v>22</v>
      </c>
      <c r="H17" s="5" t="s">
        <v>23</v>
      </c>
      <c r="I17" s="5" t="s">
        <v>1566</v>
      </c>
      <c r="J17" s="5" t="s">
        <v>254</v>
      </c>
      <c r="K17" s="5"/>
      <c r="L17" s="46" t="s">
        <v>672</v>
      </c>
      <c r="M17" s="5"/>
      <c r="N17" s="5"/>
      <c r="O17" s="5"/>
      <c r="P17" s="5"/>
    </row>
    <row r="18" spans="1:16" ht="72" x14ac:dyDescent="0.25">
      <c r="A18" s="4">
        <v>12</v>
      </c>
      <c r="B18" s="5" t="s">
        <v>17</v>
      </c>
      <c r="C18" s="5" t="s">
        <v>264</v>
      </c>
      <c r="D18" s="5" t="s">
        <v>265</v>
      </c>
      <c r="E18" s="5" t="s">
        <v>20</v>
      </c>
      <c r="F18" s="5" t="s">
        <v>21</v>
      </c>
      <c r="G18" s="5" t="s">
        <v>22</v>
      </c>
      <c r="H18" s="5" t="s">
        <v>23</v>
      </c>
      <c r="I18" s="5" t="s">
        <v>1567</v>
      </c>
      <c r="J18" s="5" t="s">
        <v>266</v>
      </c>
      <c r="K18" s="5"/>
      <c r="L18" s="46" t="s">
        <v>672</v>
      </c>
      <c r="M18" s="5"/>
      <c r="N18" s="5"/>
      <c r="O18" s="5"/>
      <c r="P18" s="5"/>
    </row>
    <row r="19" spans="1:16" ht="84" x14ac:dyDescent="0.25">
      <c r="A19" s="4">
        <v>13</v>
      </c>
      <c r="B19" s="5" t="s">
        <v>17</v>
      </c>
      <c r="C19" s="5" t="s">
        <v>267</v>
      </c>
      <c r="D19" s="5" t="s">
        <v>268</v>
      </c>
      <c r="E19" s="5" t="s">
        <v>20</v>
      </c>
      <c r="F19" s="5" t="s">
        <v>21</v>
      </c>
      <c r="G19" s="5" t="s">
        <v>22</v>
      </c>
      <c r="H19" s="5" t="s">
        <v>23</v>
      </c>
      <c r="I19" s="5" t="s">
        <v>1568</v>
      </c>
      <c r="J19" s="5" t="s">
        <v>269</v>
      </c>
      <c r="K19" s="5"/>
      <c r="L19" s="46" t="s">
        <v>672</v>
      </c>
      <c r="M19" s="5"/>
      <c r="N19" s="5"/>
      <c r="O19" s="5"/>
      <c r="P19" s="5"/>
    </row>
    <row r="20" spans="1:16" x14ac:dyDescent="0.25">
      <c r="A20" s="139" t="s">
        <v>270</v>
      </c>
      <c r="B20" s="140"/>
      <c r="C20" s="140"/>
      <c r="D20" s="140"/>
      <c r="E20" s="140"/>
      <c r="F20" s="140"/>
      <c r="G20" s="140"/>
      <c r="H20" s="140"/>
      <c r="I20" s="140"/>
      <c r="J20" s="140"/>
      <c r="K20" s="140"/>
      <c r="L20" s="140"/>
      <c r="M20" s="140"/>
      <c r="N20" s="140"/>
      <c r="O20" s="140"/>
      <c r="P20" s="140"/>
    </row>
    <row r="21" spans="1:16" ht="180" x14ac:dyDescent="0.25">
      <c r="A21" s="4">
        <v>14</v>
      </c>
      <c r="B21" s="5" t="s">
        <v>17</v>
      </c>
      <c r="C21" s="5" t="s">
        <v>271</v>
      </c>
      <c r="D21" s="5" t="s">
        <v>272</v>
      </c>
      <c r="E21" s="5" t="s">
        <v>20</v>
      </c>
      <c r="F21" s="5" t="s">
        <v>21</v>
      </c>
      <c r="G21" s="5" t="s">
        <v>22</v>
      </c>
      <c r="H21" s="5" t="s">
        <v>23</v>
      </c>
      <c r="I21" s="5" t="s">
        <v>1569</v>
      </c>
      <c r="J21" s="5" t="s">
        <v>273</v>
      </c>
      <c r="K21" s="5"/>
      <c r="L21" s="46" t="s">
        <v>672</v>
      </c>
      <c r="M21" s="5"/>
      <c r="N21" s="5"/>
      <c r="O21" s="5"/>
      <c r="P21" s="5"/>
    </row>
    <row r="22" spans="1:16" ht="192" x14ac:dyDescent="0.25">
      <c r="A22" s="4">
        <v>15</v>
      </c>
      <c r="B22" s="5" t="s">
        <v>17</v>
      </c>
      <c r="C22" s="5" t="s">
        <v>274</v>
      </c>
      <c r="D22" s="5" t="s">
        <v>275</v>
      </c>
      <c r="E22" s="5" t="s">
        <v>20</v>
      </c>
      <c r="F22" s="5" t="s">
        <v>21</v>
      </c>
      <c r="G22" s="5" t="s">
        <v>22</v>
      </c>
      <c r="H22" s="5" t="s">
        <v>23</v>
      </c>
      <c r="I22" s="5" t="s">
        <v>1570</v>
      </c>
      <c r="J22" s="5" t="s">
        <v>254</v>
      </c>
      <c r="K22" s="5"/>
      <c r="L22" s="46" t="s">
        <v>672</v>
      </c>
      <c r="M22" s="5"/>
      <c r="N22" s="5"/>
      <c r="O22" s="5"/>
      <c r="P22" s="5"/>
    </row>
    <row r="23" spans="1:16" ht="192" x14ac:dyDescent="0.25">
      <c r="A23" s="4">
        <v>16</v>
      </c>
      <c r="B23" s="5" t="s">
        <v>17</v>
      </c>
      <c r="C23" s="5" t="s">
        <v>276</v>
      </c>
      <c r="D23" s="5" t="s">
        <v>277</v>
      </c>
      <c r="E23" s="5" t="s">
        <v>55</v>
      </c>
      <c r="F23" s="5" t="s">
        <v>21</v>
      </c>
      <c r="G23" s="5" t="s">
        <v>22</v>
      </c>
      <c r="H23" s="5" t="s">
        <v>23</v>
      </c>
      <c r="I23" s="5" t="s">
        <v>1571</v>
      </c>
      <c r="J23" s="5" t="s">
        <v>273</v>
      </c>
      <c r="K23" s="5"/>
      <c r="L23" s="46" t="s">
        <v>672</v>
      </c>
      <c r="M23" s="5"/>
      <c r="N23" s="5"/>
      <c r="O23" s="5"/>
      <c r="P23" s="5"/>
    </row>
    <row r="24" spans="1:16" ht="300" x14ac:dyDescent="0.25">
      <c r="A24" s="4">
        <v>17</v>
      </c>
      <c r="B24" s="5" t="s">
        <v>17</v>
      </c>
      <c r="C24" s="5" t="s">
        <v>278</v>
      </c>
      <c r="D24" s="5" t="s">
        <v>279</v>
      </c>
      <c r="E24" s="5" t="s">
        <v>20</v>
      </c>
      <c r="F24" s="5" t="s">
        <v>21</v>
      </c>
      <c r="G24" s="5" t="s">
        <v>22</v>
      </c>
      <c r="H24" s="5" t="s">
        <v>23</v>
      </c>
      <c r="I24" s="5" t="s">
        <v>1572</v>
      </c>
      <c r="J24" s="5" t="s">
        <v>280</v>
      </c>
      <c r="K24" s="5"/>
      <c r="L24" s="46" t="s">
        <v>672</v>
      </c>
      <c r="M24" s="5"/>
      <c r="N24" s="5"/>
      <c r="O24" s="5"/>
      <c r="P24" s="5"/>
    </row>
    <row r="25" spans="1:16" ht="252" x14ac:dyDescent="0.25">
      <c r="A25" s="4">
        <v>18</v>
      </c>
      <c r="B25" s="5" t="s">
        <v>17</v>
      </c>
      <c r="C25" s="5" t="s">
        <v>281</v>
      </c>
      <c r="D25" s="5" t="s">
        <v>282</v>
      </c>
      <c r="E25" s="5" t="s">
        <v>20</v>
      </c>
      <c r="F25" s="5" t="s">
        <v>21</v>
      </c>
      <c r="G25" s="5" t="s">
        <v>22</v>
      </c>
      <c r="H25" s="5" t="s">
        <v>23</v>
      </c>
      <c r="I25" s="5" t="s">
        <v>1573</v>
      </c>
      <c r="J25" s="5" t="s">
        <v>273</v>
      </c>
      <c r="K25" s="5"/>
      <c r="L25" s="46" t="s">
        <v>672</v>
      </c>
      <c r="M25" s="5"/>
      <c r="N25" s="5"/>
      <c r="O25" s="5"/>
      <c r="P25" s="5"/>
    </row>
    <row r="26" spans="1:16" ht="252" x14ac:dyDescent="0.25">
      <c r="A26" s="4">
        <v>19</v>
      </c>
      <c r="B26" s="5" t="s">
        <v>17</v>
      </c>
      <c r="C26" s="5" t="s">
        <v>283</v>
      </c>
      <c r="D26" s="5" t="s">
        <v>284</v>
      </c>
      <c r="E26" s="5" t="s">
        <v>20</v>
      </c>
      <c r="F26" s="5" t="s">
        <v>21</v>
      </c>
      <c r="G26" s="5" t="s">
        <v>22</v>
      </c>
      <c r="H26" s="5" t="s">
        <v>23</v>
      </c>
      <c r="I26" s="5" t="s">
        <v>1573</v>
      </c>
      <c r="J26" s="5" t="s">
        <v>254</v>
      </c>
      <c r="K26" s="5"/>
      <c r="L26" s="46" t="s">
        <v>672</v>
      </c>
      <c r="M26" s="5"/>
      <c r="N26" s="5"/>
      <c r="O26" s="5"/>
      <c r="P26" s="5"/>
    </row>
    <row r="27" spans="1:16" ht="252" x14ac:dyDescent="0.25">
      <c r="A27" s="4">
        <v>20</v>
      </c>
      <c r="B27" s="5" t="s">
        <v>17</v>
      </c>
      <c r="C27" s="5" t="s">
        <v>285</v>
      </c>
      <c r="D27" s="5" t="s">
        <v>286</v>
      </c>
      <c r="E27" s="5" t="s">
        <v>20</v>
      </c>
      <c r="F27" s="5" t="s">
        <v>21</v>
      </c>
      <c r="G27" s="5" t="s">
        <v>22</v>
      </c>
      <c r="H27" s="5" t="s">
        <v>23</v>
      </c>
      <c r="I27" s="5" t="s">
        <v>1574</v>
      </c>
      <c r="J27" s="5" t="s">
        <v>254</v>
      </c>
      <c r="K27" s="5"/>
      <c r="L27" s="46" t="s">
        <v>672</v>
      </c>
      <c r="M27" s="5"/>
      <c r="N27" s="5"/>
      <c r="O27" s="5"/>
      <c r="P27" s="5"/>
    </row>
    <row r="28" spans="1:16" ht="204" x14ac:dyDescent="0.25">
      <c r="A28" s="4">
        <v>21</v>
      </c>
      <c r="B28" s="5" t="s">
        <v>17</v>
      </c>
      <c r="C28" s="5" t="s">
        <v>287</v>
      </c>
      <c r="D28" s="5" t="s">
        <v>288</v>
      </c>
      <c r="E28" s="5" t="s">
        <v>20</v>
      </c>
      <c r="F28" s="5" t="s">
        <v>21</v>
      </c>
      <c r="G28" s="5" t="s">
        <v>22</v>
      </c>
      <c r="H28" s="5" t="s">
        <v>23</v>
      </c>
      <c r="I28" s="5" t="s">
        <v>1575</v>
      </c>
      <c r="J28" s="5" t="s">
        <v>273</v>
      </c>
      <c r="K28" s="5"/>
      <c r="L28" s="46" t="s">
        <v>672</v>
      </c>
      <c r="M28" s="5"/>
      <c r="N28" s="5"/>
      <c r="O28" s="5"/>
      <c r="P28" s="5"/>
    </row>
    <row r="29" spans="1:16" x14ac:dyDescent="0.25">
      <c r="A29" s="139" t="s">
        <v>289</v>
      </c>
      <c r="B29" s="140"/>
      <c r="C29" s="140"/>
      <c r="D29" s="140"/>
      <c r="E29" s="140"/>
      <c r="F29" s="140"/>
      <c r="G29" s="140"/>
      <c r="H29" s="140"/>
      <c r="I29" s="140"/>
      <c r="J29" s="140"/>
      <c r="K29" s="140"/>
      <c r="L29" s="140"/>
      <c r="M29" s="140"/>
      <c r="N29" s="140"/>
      <c r="O29" s="140"/>
      <c r="P29" s="140"/>
    </row>
    <row r="30" spans="1:16" ht="108" x14ac:dyDescent="0.25">
      <c r="A30" s="4">
        <v>22</v>
      </c>
      <c r="B30" s="5" t="s">
        <v>17</v>
      </c>
      <c r="C30" s="5" t="s">
        <v>290</v>
      </c>
      <c r="D30" s="5" t="s">
        <v>291</v>
      </c>
      <c r="E30" s="5" t="s">
        <v>20</v>
      </c>
      <c r="F30" s="5" t="s">
        <v>21</v>
      </c>
      <c r="G30" s="5" t="s">
        <v>22</v>
      </c>
      <c r="H30" s="5" t="s">
        <v>23</v>
      </c>
      <c r="I30" s="5" t="s">
        <v>1576</v>
      </c>
      <c r="J30" s="5" t="s">
        <v>280</v>
      </c>
      <c r="K30" s="5"/>
      <c r="L30" s="46" t="s">
        <v>672</v>
      </c>
      <c r="M30" s="5"/>
      <c r="N30" s="5"/>
      <c r="O30" s="5"/>
      <c r="P30" s="5"/>
    </row>
    <row r="31" spans="1:16" ht="144" x14ac:dyDescent="0.25">
      <c r="A31" s="4">
        <v>23</v>
      </c>
      <c r="B31" s="5" t="s">
        <v>17</v>
      </c>
      <c r="C31" s="5" t="s">
        <v>292</v>
      </c>
      <c r="D31" s="5" t="s">
        <v>293</v>
      </c>
      <c r="E31" s="5" t="s">
        <v>20</v>
      </c>
      <c r="F31" s="5" t="s">
        <v>21</v>
      </c>
      <c r="G31" s="5" t="s">
        <v>22</v>
      </c>
      <c r="H31" s="5" t="s">
        <v>23</v>
      </c>
      <c r="I31" s="5" t="s">
        <v>1577</v>
      </c>
      <c r="J31" s="5" t="s">
        <v>254</v>
      </c>
      <c r="K31" s="5"/>
      <c r="L31" s="46" t="s">
        <v>672</v>
      </c>
      <c r="M31" s="5"/>
      <c r="N31" s="5"/>
      <c r="O31" s="5"/>
      <c r="P31" s="5"/>
    </row>
    <row r="32" spans="1:16" ht="144" x14ac:dyDescent="0.25">
      <c r="A32" s="4">
        <v>24</v>
      </c>
      <c r="B32" s="5" t="s">
        <v>17</v>
      </c>
      <c r="C32" s="5" t="s">
        <v>294</v>
      </c>
      <c r="D32" s="5" t="s">
        <v>295</v>
      </c>
      <c r="E32" s="5" t="s">
        <v>20</v>
      </c>
      <c r="F32" s="5" t="s">
        <v>21</v>
      </c>
      <c r="G32" s="5" t="s">
        <v>22</v>
      </c>
      <c r="H32" s="5" t="s">
        <v>23</v>
      </c>
      <c r="I32" s="5" t="s">
        <v>1578</v>
      </c>
      <c r="J32" s="5" t="s">
        <v>273</v>
      </c>
      <c r="K32" s="5"/>
      <c r="L32" s="46" t="s">
        <v>672</v>
      </c>
      <c r="M32" s="5"/>
      <c r="N32" s="5"/>
      <c r="O32" s="5"/>
      <c r="P32" s="5"/>
    </row>
    <row r="33" spans="1:16" ht="204" x14ac:dyDescent="0.25">
      <c r="A33" s="4">
        <v>25</v>
      </c>
      <c r="B33" s="5" t="s">
        <v>17</v>
      </c>
      <c r="C33" s="5" t="s">
        <v>296</v>
      </c>
      <c r="D33" s="5" t="s">
        <v>297</v>
      </c>
      <c r="E33" s="5" t="s">
        <v>20</v>
      </c>
      <c r="F33" s="5" t="s">
        <v>21</v>
      </c>
      <c r="G33" s="5" t="s">
        <v>22</v>
      </c>
      <c r="H33" s="5" t="s">
        <v>23</v>
      </c>
      <c r="I33" s="5" t="s">
        <v>1579</v>
      </c>
      <c r="J33" s="5" t="s">
        <v>280</v>
      </c>
      <c r="K33" s="5"/>
      <c r="L33" s="46" t="s">
        <v>672</v>
      </c>
      <c r="M33" s="5"/>
      <c r="N33" s="5"/>
      <c r="O33" s="5"/>
      <c r="P33" s="5"/>
    </row>
    <row r="34" spans="1:16" ht="204" x14ac:dyDescent="0.25">
      <c r="A34" s="4">
        <v>26</v>
      </c>
      <c r="B34" s="5" t="s">
        <v>17</v>
      </c>
      <c r="C34" s="5" t="s">
        <v>298</v>
      </c>
      <c r="D34" s="5" t="s">
        <v>299</v>
      </c>
      <c r="E34" s="5" t="s">
        <v>20</v>
      </c>
      <c r="F34" s="5" t="s">
        <v>21</v>
      </c>
      <c r="G34" s="5" t="s">
        <v>22</v>
      </c>
      <c r="H34" s="5" t="s">
        <v>23</v>
      </c>
      <c r="I34" s="5" t="s">
        <v>1580</v>
      </c>
      <c r="J34" s="5" t="s">
        <v>273</v>
      </c>
      <c r="K34" s="5"/>
      <c r="L34" s="46" t="s">
        <v>672</v>
      </c>
      <c r="M34" s="5"/>
      <c r="N34" s="5"/>
      <c r="O34" s="5"/>
      <c r="P34" s="5"/>
    </row>
    <row r="35" spans="1:16" ht="204" x14ac:dyDescent="0.25">
      <c r="A35" s="4">
        <v>27</v>
      </c>
      <c r="B35" s="5" t="s">
        <v>17</v>
      </c>
      <c r="C35" s="5" t="s">
        <v>300</v>
      </c>
      <c r="D35" s="5" t="s">
        <v>301</v>
      </c>
      <c r="E35" s="5" t="s">
        <v>20</v>
      </c>
      <c r="F35" s="5" t="s">
        <v>21</v>
      </c>
      <c r="G35" s="5" t="s">
        <v>22</v>
      </c>
      <c r="H35" s="5" t="s">
        <v>23</v>
      </c>
      <c r="I35" s="5" t="s">
        <v>1580</v>
      </c>
      <c r="J35" s="5" t="s">
        <v>254</v>
      </c>
      <c r="K35" s="5"/>
      <c r="L35" s="46" t="s">
        <v>672</v>
      </c>
      <c r="M35" s="5"/>
      <c r="N35" s="5"/>
      <c r="O35" s="5"/>
      <c r="P35" s="5"/>
    </row>
    <row r="36" spans="1:16" ht="204" x14ac:dyDescent="0.25">
      <c r="A36" s="4">
        <v>28</v>
      </c>
      <c r="B36" s="5" t="s">
        <v>17</v>
      </c>
      <c r="C36" s="5" t="s">
        <v>302</v>
      </c>
      <c r="D36" s="5" t="s">
        <v>303</v>
      </c>
      <c r="E36" s="5" t="s">
        <v>20</v>
      </c>
      <c r="F36" s="5" t="s">
        <v>21</v>
      </c>
      <c r="G36" s="5" t="s">
        <v>22</v>
      </c>
      <c r="H36" s="5" t="s">
        <v>23</v>
      </c>
      <c r="I36" s="5" t="s">
        <v>1581</v>
      </c>
      <c r="J36" s="5" t="s">
        <v>254</v>
      </c>
      <c r="K36" s="5"/>
      <c r="L36" s="46" t="s">
        <v>672</v>
      </c>
      <c r="M36" s="5"/>
      <c r="N36" s="5"/>
      <c r="O36" s="5"/>
      <c r="P36" s="5"/>
    </row>
    <row r="37" spans="1:16" ht="156" x14ac:dyDescent="0.25">
      <c r="A37" s="4">
        <v>29</v>
      </c>
      <c r="B37" s="5" t="s">
        <v>17</v>
      </c>
      <c r="C37" s="5" t="s">
        <v>304</v>
      </c>
      <c r="D37" s="5" t="s">
        <v>305</v>
      </c>
      <c r="E37" s="5" t="s">
        <v>20</v>
      </c>
      <c r="F37" s="5" t="s">
        <v>21</v>
      </c>
      <c r="G37" s="5" t="s">
        <v>22</v>
      </c>
      <c r="H37" s="5" t="s">
        <v>23</v>
      </c>
      <c r="I37" s="5" t="s">
        <v>1582</v>
      </c>
      <c r="J37" s="5" t="s">
        <v>273</v>
      </c>
      <c r="K37" s="5"/>
      <c r="L37" s="46" t="s">
        <v>672</v>
      </c>
      <c r="M37" s="5"/>
      <c r="N37" s="5"/>
      <c r="O37" s="5"/>
      <c r="P37" s="5"/>
    </row>
    <row r="38" spans="1:16" x14ac:dyDescent="0.25">
      <c r="A38" s="139" t="s">
        <v>306</v>
      </c>
      <c r="B38" s="140"/>
      <c r="C38" s="140"/>
      <c r="D38" s="140"/>
      <c r="E38" s="140"/>
      <c r="F38" s="140"/>
      <c r="G38" s="140"/>
      <c r="H38" s="140"/>
      <c r="I38" s="140"/>
      <c r="J38" s="140"/>
      <c r="K38" s="140"/>
      <c r="L38" s="140"/>
      <c r="M38" s="140"/>
      <c r="N38" s="140"/>
      <c r="O38" s="140"/>
      <c r="P38" s="140"/>
    </row>
    <row r="39" spans="1:16" ht="132" x14ac:dyDescent="0.25">
      <c r="A39" s="4">
        <v>30</v>
      </c>
      <c r="B39" s="5" t="s">
        <v>17</v>
      </c>
      <c r="C39" s="5" t="s">
        <v>307</v>
      </c>
      <c r="D39" s="5" t="s">
        <v>308</v>
      </c>
      <c r="E39" s="5" t="s">
        <v>20</v>
      </c>
      <c r="F39" s="5" t="s">
        <v>21</v>
      </c>
      <c r="G39" s="5" t="s">
        <v>22</v>
      </c>
      <c r="H39" s="5" t="s">
        <v>23</v>
      </c>
      <c r="I39" s="5" t="s">
        <v>1583</v>
      </c>
      <c r="J39" s="5" t="s">
        <v>269</v>
      </c>
      <c r="K39" s="5"/>
      <c r="L39" s="46" t="s">
        <v>672</v>
      </c>
      <c r="M39" s="5"/>
      <c r="N39" s="5"/>
      <c r="O39" s="5"/>
      <c r="P39" s="5"/>
    </row>
    <row r="40" spans="1:16" x14ac:dyDescent="0.25">
      <c r="A40" s="139" t="s">
        <v>309</v>
      </c>
      <c r="B40" s="140"/>
      <c r="C40" s="140"/>
      <c r="D40" s="140"/>
      <c r="E40" s="140"/>
      <c r="F40" s="140"/>
      <c r="G40" s="140"/>
      <c r="H40" s="140"/>
      <c r="I40" s="140"/>
      <c r="J40" s="140"/>
      <c r="K40" s="140"/>
      <c r="L40" s="140"/>
      <c r="M40" s="140"/>
      <c r="N40" s="140"/>
      <c r="O40" s="140"/>
      <c r="P40" s="140"/>
    </row>
    <row r="41" spans="1:16" ht="156" x14ac:dyDescent="0.25">
      <c r="A41" s="4">
        <v>31</v>
      </c>
      <c r="B41" s="5" t="s">
        <v>17</v>
      </c>
      <c r="C41" s="5" t="s">
        <v>310</v>
      </c>
      <c r="D41" s="5" t="s">
        <v>311</v>
      </c>
      <c r="E41" s="5" t="s">
        <v>55</v>
      </c>
      <c r="F41" s="5" t="s">
        <v>21</v>
      </c>
      <c r="G41" s="5" t="s">
        <v>22</v>
      </c>
      <c r="H41" s="5" t="s">
        <v>23</v>
      </c>
      <c r="I41" s="5" t="s">
        <v>1584</v>
      </c>
      <c r="J41" s="5" t="s">
        <v>254</v>
      </c>
      <c r="K41" s="5"/>
      <c r="L41" s="46" t="s">
        <v>672</v>
      </c>
      <c r="M41" s="5"/>
      <c r="N41" s="5"/>
      <c r="O41" s="5"/>
      <c r="P41" s="5"/>
    </row>
    <row r="42" spans="1:16" ht="144" x14ac:dyDescent="0.25">
      <c r="A42" s="4">
        <v>32</v>
      </c>
      <c r="B42" s="5" t="s">
        <v>17</v>
      </c>
      <c r="C42" s="5" t="s">
        <v>312</v>
      </c>
      <c r="D42" s="5" t="s">
        <v>313</v>
      </c>
      <c r="E42" s="5" t="s">
        <v>55</v>
      </c>
      <c r="F42" s="5" t="s">
        <v>21</v>
      </c>
      <c r="G42" s="5" t="s">
        <v>22</v>
      </c>
      <c r="H42" s="5" t="s">
        <v>23</v>
      </c>
      <c r="I42" s="5" t="s">
        <v>1585</v>
      </c>
      <c r="J42" s="5" t="s">
        <v>254</v>
      </c>
      <c r="K42" s="5"/>
      <c r="L42" s="46" t="s">
        <v>672</v>
      </c>
      <c r="M42" s="5"/>
      <c r="N42" s="5"/>
      <c r="O42" s="5"/>
      <c r="P42" s="5"/>
    </row>
    <row r="43" spans="1:16" ht="132" x14ac:dyDescent="0.25">
      <c r="A43" s="4">
        <v>33</v>
      </c>
      <c r="B43" s="5" t="s">
        <v>17</v>
      </c>
      <c r="C43" s="5" t="s">
        <v>314</v>
      </c>
      <c r="D43" s="5" t="s">
        <v>315</v>
      </c>
      <c r="E43" s="5" t="s">
        <v>55</v>
      </c>
      <c r="F43" s="5" t="s">
        <v>21</v>
      </c>
      <c r="G43" s="5" t="s">
        <v>22</v>
      </c>
      <c r="H43" s="5" t="s">
        <v>23</v>
      </c>
      <c r="I43" s="5" t="s">
        <v>1586</v>
      </c>
      <c r="J43" s="5" t="s">
        <v>254</v>
      </c>
      <c r="K43" s="5"/>
      <c r="L43" s="46" t="s">
        <v>672</v>
      </c>
      <c r="M43" s="5"/>
      <c r="N43" s="5"/>
      <c r="O43" s="5"/>
      <c r="P43" s="5"/>
    </row>
    <row r="44" spans="1:16" ht="96" x14ac:dyDescent="0.25">
      <c r="A44" s="4">
        <v>34</v>
      </c>
      <c r="B44" s="5" t="s">
        <v>17</v>
      </c>
      <c r="C44" s="5" t="s">
        <v>316</v>
      </c>
      <c r="D44" s="5" t="s">
        <v>317</v>
      </c>
      <c r="E44" s="5" t="s">
        <v>20</v>
      </c>
      <c r="F44" s="5" t="s">
        <v>21</v>
      </c>
      <c r="G44" s="5" t="s">
        <v>22</v>
      </c>
      <c r="H44" s="5" t="s">
        <v>23</v>
      </c>
      <c r="I44" s="5" t="s">
        <v>1587</v>
      </c>
      <c r="J44" s="5" t="s">
        <v>254</v>
      </c>
      <c r="K44" s="5"/>
      <c r="L44" s="46" t="s">
        <v>672</v>
      </c>
      <c r="M44" s="5"/>
      <c r="N44" s="5"/>
      <c r="O44" s="5"/>
      <c r="P44" s="5"/>
    </row>
    <row r="45" spans="1:16" x14ac:dyDescent="0.25">
      <c r="A45" s="139" t="s">
        <v>318</v>
      </c>
      <c r="B45" s="140"/>
      <c r="C45" s="140"/>
      <c r="D45" s="140"/>
      <c r="E45" s="140"/>
      <c r="F45" s="140"/>
      <c r="G45" s="140"/>
      <c r="H45" s="140"/>
      <c r="I45" s="140"/>
      <c r="J45" s="140"/>
      <c r="K45" s="140"/>
      <c r="L45" s="140"/>
      <c r="M45" s="140"/>
      <c r="N45" s="140"/>
      <c r="O45" s="140"/>
      <c r="P45" s="140"/>
    </row>
    <row r="46" spans="1:16" ht="60" x14ac:dyDescent="0.25">
      <c r="A46" s="4">
        <v>35</v>
      </c>
      <c r="B46" s="5" t="s">
        <v>17</v>
      </c>
      <c r="C46" s="5" t="s">
        <v>319</v>
      </c>
      <c r="D46" s="5" t="s">
        <v>320</v>
      </c>
      <c r="E46" s="5" t="s">
        <v>20</v>
      </c>
      <c r="F46" s="5" t="s">
        <v>21</v>
      </c>
      <c r="G46" s="5" t="s">
        <v>22</v>
      </c>
      <c r="H46" s="5" t="s">
        <v>23</v>
      </c>
      <c r="I46" s="5" t="s">
        <v>1588</v>
      </c>
      <c r="J46" s="5" t="s">
        <v>321</v>
      </c>
      <c r="K46" s="5"/>
      <c r="L46" s="46" t="s">
        <v>672</v>
      </c>
      <c r="M46" s="5"/>
      <c r="N46" s="5"/>
      <c r="O46" s="5"/>
      <c r="P46" s="5"/>
    </row>
    <row r="47" spans="1:16" x14ac:dyDescent="0.25">
      <c r="A47" s="139" t="s">
        <v>72</v>
      </c>
      <c r="B47" s="140"/>
      <c r="C47" s="140"/>
      <c r="D47" s="140"/>
      <c r="E47" s="140"/>
      <c r="F47" s="140"/>
      <c r="G47" s="140"/>
      <c r="H47" s="140"/>
      <c r="I47" s="140"/>
      <c r="J47" s="140"/>
      <c r="K47" s="140"/>
      <c r="L47" s="140"/>
      <c r="M47" s="140"/>
      <c r="N47" s="140"/>
      <c r="O47" s="140"/>
      <c r="P47" s="140"/>
    </row>
    <row r="48" spans="1:16" ht="48" x14ac:dyDescent="0.25">
      <c r="A48" s="4">
        <v>36</v>
      </c>
      <c r="B48" s="5" t="s">
        <v>17</v>
      </c>
      <c r="C48" s="5" t="s">
        <v>322</v>
      </c>
      <c r="D48" s="5" t="s">
        <v>323</v>
      </c>
      <c r="E48" s="5" t="s">
        <v>55</v>
      </c>
      <c r="F48" s="5" t="s">
        <v>21</v>
      </c>
      <c r="G48" s="5" t="s">
        <v>22</v>
      </c>
      <c r="H48" s="5" t="s">
        <v>23</v>
      </c>
      <c r="I48" s="5" t="s">
        <v>1589</v>
      </c>
      <c r="J48" s="5" t="s">
        <v>324</v>
      </c>
      <c r="K48" s="5"/>
      <c r="L48" s="46" t="s">
        <v>672</v>
      </c>
      <c r="M48" s="5"/>
      <c r="N48" s="5"/>
      <c r="O48" s="5"/>
      <c r="P48" s="5"/>
    </row>
    <row r="49" spans="1:16" ht="48" x14ac:dyDescent="0.25">
      <c r="A49" s="4">
        <v>37</v>
      </c>
      <c r="B49" s="5" t="s">
        <v>17</v>
      </c>
      <c r="C49" s="5" t="s">
        <v>325</v>
      </c>
      <c r="D49" s="5" t="s">
        <v>326</v>
      </c>
      <c r="E49" s="5" t="s">
        <v>55</v>
      </c>
      <c r="F49" s="5" t="s">
        <v>21</v>
      </c>
      <c r="G49" s="5" t="s">
        <v>22</v>
      </c>
      <c r="H49" s="5" t="s">
        <v>23</v>
      </c>
      <c r="I49" s="5" t="s">
        <v>1590</v>
      </c>
      <c r="J49" s="5" t="s">
        <v>324</v>
      </c>
      <c r="K49" s="5"/>
      <c r="L49" s="46" t="s">
        <v>672</v>
      </c>
      <c r="M49" s="5"/>
      <c r="N49" s="5"/>
      <c r="O49" s="5"/>
      <c r="P49" s="5"/>
    </row>
    <row r="50" spans="1:16" x14ac:dyDescent="0.25">
      <c r="A50" s="139" t="s">
        <v>80</v>
      </c>
      <c r="B50" s="140"/>
      <c r="C50" s="140"/>
      <c r="D50" s="140"/>
      <c r="E50" s="140"/>
      <c r="F50" s="140"/>
      <c r="G50" s="140"/>
      <c r="H50" s="140"/>
      <c r="I50" s="140"/>
      <c r="J50" s="140"/>
      <c r="K50" s="140"/>
      <c r="L50" s="140"/>
      <c r="M50" s="140"/>
      <c r="N50" s="140"/>
      <c r="O50" s="140"/>
      <c r="P50" s="140"/>
    </row>
    <row r="51" spans="1:16" ht="36" x14ac:dyDescent="0.25">
      <c r="A51" s="4">
        <v>38</v>
      </c>
      <c r="B51" s="5" t="s">
        <v>17</v>
      </c>
      <c r="C51" s="5" t="s">
        <v>327</v>
      </c>
      <c r="D51" s="5" t="s">
        <v>328</v>
      </c>
      <c r="E51" s="5" t="s">
        <v>20</v>
      </c>
      <c r="F51" s="5" t="s">
        <v>21</v>
      </c>
      <c r="G51" s="5" t="s">
        <v>22</v>
      </c>
      <c r="H51" s="5" t="s">
        <v>23</v>
      </c>
      <c r="I51" s="5" t="s">
        <v>1590</v>
      </c>
      <c r="J51" s="5" t="s">
        <v>324</v>
      </c>
      <c r="K51" s="5"/>
      <c r="L51" s="46" t="s">
        <v>672</v>
      </c>
      <c r="M51" s="5"/>
      <c r="N51" s="5"/>
      <c r="O51" s="5"/>
      <c r="P51" s="5"/>
    </row>
    <row r="52" spans="1:16" x14ac:dyDescent="0.25">
      <c r="A52" s="139" t="s">
        <v>329</v>
      </c>
      <c r="B52" s="140"/>
      <c r="C52" s="140"/>
      <c r="D52" s="140"/>
      <c r="E52" s="140"/>
      <c r="F52" s="140"/>
      <c r="G52" s="140"/>
      <c r="H52" s="140"/>
      <c r="I52" s="140"/>
      <c r="J52" s="140"/>
      <c r="K52" s="140"/>
      <c r="L52" s="140"/>
      <c r="M52" s="140"/>
      <c r="N52" s="140"/>
      <c r="O52" s="140"/>
      <c r="P52" s="140"/>
    </row>
    <row r="53" spans="1:16" x14ac:dyDescent="0.25">
      <c r="A53" s="139" t="s">
        <v>330</v>
      </c>
      <c r="B53" s="140"/>
      <c r="C53" s="140"/>
      <c r="D53" s="140"/>
      <c r="E53" s="140"/>
      <c r="F53" s="140"/>
      <c r="G53" s="140"/>
      <c r="H53" s="140"/>
      <c r="I53" s="140"/>
      <c r="J53" s="140"/>
      <c r="K53" s="140"/>
      <c r="L53" s="140"/>
      <c r="M53" s="140"/>
      <c r="N53" s="140"/>
      <c r="O53" s="140"/>
      <c r="P53" s="140"/>
    </row>
    <row r="54" spans="1:16" ht="36" x14ac:dyDescent="0.25">
      <c r="A54" s="4">
        <v>39</v>
      </c>
      <c r="B54" s="5" t="s">
        <v>17</v>
      </c>
      <c r="C54" s="5" t="s">
        <v>331</v>
      </c>
      <c r="D54" s="5" t="s">
        <v>332</v>
      </c>
      <c r="E54" s="5" t="s">
        <v>20</v>
      </c>
      <c r="F54" s="5" t="s">
        <v>21</v>
      </c>
      <c r="G54" s="5" t="s">
        <v>22</v>
      </c>
      <c r="H54" s="5" t="s">
        <v>23</v>
      </c>
      <c r="I54" s="5" t="s">
        <v>1519</v>
      </c>
      <c r="J54" s="5" t="s">
        <v>231</v>
      </c>
      <c r="K54" s="5"/>
      <c r="L54" s="46" t="s">
        <v>672</v>
      </c>
      <c r="M54" s="5"/>
      <c r="N54" s="5"/>
      <c r="O54" s="5"/>
      <c r="P54" s="5"/>
    </row>
    <row r="55" spans="1:16" ht="36" x14ac:dyDescent="0.25">
      <c r="A55" s="4">
        <v>40</v>
      </c>
      <c r="B55" s="5" t="s">
        <v>17</v>
      </c>
      <c r="C55" s="5" t="s">
        <v>333</v>
      </c>
      <c r="D55" s="5" t="s">
        <v>334</v>
      </c>
      <c r="E55" s="5" t="s">
        <v>20</v>
      </c>
      <c r="F55" s="5" t="s">
        <v>21</v>
      </c>
      <c r="G55" s="5" t="s">
        <v>22</v>
      </c>
      <c r="H55" s="5" t="s">
        <v>23</v>
      </c>
      <c r="I55" s="5" t="s">
        <v>1591</v>
      </c>
      <c r="J55" s="5" t="s">
        <v>231</v>
      </c>
      <c r="K55" s="5"/>
      <c r="L55" s="46" t="s">
        <v>672</v>
      </c>
      <c r="M55" s="5"/>
      <c r="N55" s="5"/>
      <c r="O55" s="5"/>
      <c r="P55" s="5"/>
    </row>
    <row r="56" spans="1:16" x14ac:dyDescent="0.25">
      <c r="A56" s="139" t="s">
        <v>335</v>
      </c>
      <c r="B56" s="140"/>
      <c r="C56" s="140"/>
      <c r="D56" s="140"/>
      <c r="E56" s="140"/>
      <c r="F56" s="140"/>
      <c r="G56" s="140"/>
      <c r="H56" s="140"/>
      <c r="I56" s="140"/>
      <c r="J56" s="140"/>
      <c r="K56" s="140"/>
      <c r="L56" s="140"/>
      <c r="M56" s="140"/>
      <c r="N56" s="140"/>
      <c r="O56" s="140"/>
      <c r="P56" s="140"/>
    </row>
    <row r="57" spans="1:16" x14ac:dyDescent="0.25">
      <c r="A57" s="139" t="s">
        <v>336</v>
      </c>
      <c r="B57" s="140"/>
      <c r="C57" s="140"/>
      <c r="D57" s="140"/>
      <c r="E57" s="140"/>
      <c r="F57" s="140"/>
      <c r="G57" s="140"/>
      <c r="H57" s="140"/>
      <c r="I57" s="140"/>
      <c r="J57" s="140"/>
      <c r="K57" s="140"/>
      <c r="L57" s="140"/>
      <c r="M57" s="140"/>
      <c r="N57" s="140"/>
      <c r="O57" s="140"/>
      <c r="P57" s="140"/>
    </row>
    <row r="58" spans="1:16" ht="144" x14ac:dyDescent="0.25">
      <c r="A58" s="4">
        <v>41</v>
      </c>
      <c r="B58" s="5" t="s">
        <v>17</v>
      </c>
      <c r="C58" s="5" t="s">
        <v>337</v>
      </c>
      <c r="D58" s="5" t="s">
        <v>338</v>
      </c>
      <c r="E58" s="5" t="s">
        <v>20</v>
      </c>
      <c r="F58" s="5" t="s">
        <v>21</v>
      </c>
      <c r="G58" s="5" t="s">
        <v>22</v>
      </c>
      <c r="H58" s="5" t="s">
        <v>23</v>
      </c>
      <c r="I58" s="5" t="s">
        <v>1592</v>
      </c>
      <c r="J58" s="5" t="s">
        <v>238</v>
      </c>
      <c r="K58" s="5"/>
      <c r="L58" s="46" t="s">
        <v>672</v>
      </c>
      <c r="M58" s="5"/>
      <c r="N58" s="5"/>
      <c r="O58" s="5"/>
      <c r="P58" s="5"/>
    </row>
    <row r="59" spans="1:16" ht="144" x14ac:dyDescent="0.25">
      <c r="A59" s="4">
        <v>42</v>
      </c>
      <c r="B59" s="5" t="s">
        <v>17</v>
      </c>
      <c r="C59" s="5" t="s">
        <v>339</v>
      </c>
      <c r="D59" s="5" t="s">
        <v>340</v>
      </c>
      <c r="E59" s="5" t="s">
        <v>20</v>
      </c>
      <c r="F59" s="5" t="s">
        <v>21</v>
      </c>
      <c r="G59" s="5" t="s">
        <v>22</v>
      </c>
      <c r="H59" s="5" t="s">
        <v>23</v>
      </c>
      <c r="I59" s="5" t="s">
        <v>1593</v>
      </c>
      <c r="J59" s="5" t="s">
        <v>238</v>
      </c>
      <c r="K59" s="5"/>
      <c r="L59" s="46" t="s">
        <v>672</v>
      </c>
      <c r="M59" s="5"/>
      <c r="N59" s="5"/>
      <c r="O59" s="5"/>
      <c r="P59" s="5"/>
    </row>
    <row r="60" spans="1:16" ht="144" x14ac:dyDescent="0.25">
      <c r="A60" s="4">
        <v>43</v>
      </c>
      <c r="B60" s="5" t="s">
        <v>17</v>
      </c>
      <c r="C60" s="5" t="s">
        <v>341</v>
      </c>
      <c r="D60" s="5" t="s">
        <v>342</v>
      </c>
      <c r="E60" s="5" t="s">
        <v>20</v>
      </c>
      <c r="F60" s="5" t="s">
        <v>21</v>
      </c>
      <c r="G60" s="5" t="s">
        <v>22</v>
      </c>
      <c r="H60" s="5" t="s">
        <v>23</v>
      </c>
      <c r="I60" s="5" t="s">
        <v>1559</v>
      </c>
      <c r="J60" s="5" t="s">
        <v>243</v>
      </c>
      <c r="K60" s="5"/>
      <c r="L60" s="46" t="s">
        <v>672</v>
      </c>
      <c r="M60" s="5"/>
      <c r="N60" s="5"/>
      <c r="O60" s="5"/>
      <c r="P60" s="5"/>
    </row>
    <row r="61" spans="1:16" ht="144" x14ac:dyDescent="0.25">
      <c r="A61" s="4">
        <v>44</v>
      </c>
      <c r="B61" s="5" t="s">
        <v>17</v>
      </c>
      <c r="C61" s="5" t="s">
        <v>343</v>
      </c>
      <c r="D61" s="5" t="s">
        <v>344</v>
      </c>
      <c r="E61" s="5" t="s">
        <v>20</v>
      </c>
      <c r="F61" s="5" t="s">
        <v>21</v>
      </c>
      <c r="G61" s="5" t="s">
        <v>22</v>
      </c>
      <c r="H61" s="5" t="s">
        <v>23</v>
      </c>
      <c r="I61" s="5" t="s">
        <v>1560</v>
      </c>
      <c r="J61" s="5" t="s">
        <v>246</v>
      </c>
      <c r="K61" s="5"/>
      <c r="L61" s="46" t="s">
        <v>672</v>
      </c>
      <c r="M61" s="5"/>
      <c r="N61" s="5"/>
      <c r="O61" s="5"/>
      <c r="P61" s="5"/>
    </row>
    <row r="62" spans="1:16" ht="168" x14ac:dyDescent="0.25">
      <c r="A62" s="4">
        <v>45</v>
      </c>
      <c r="B62" s="5" t="s">
        <v>17</v>
      </c>
      <c r="C62" s="5" t="s">
        <v>345</v>
      </c>
      <c r="D62" s="5" t="s">
        <v>346</v>
      </c>
      <c r="E62" s="5" t="s">
        <v>20</v>
      </c>
      <c r="F62" s="5" t="s">
        <v>21</v>
      </c>
      <c r="G62" s="5" t="s">
        <v>22</v>
      </c>
      <c r="H62" s="5" t="s">
        <v>23</v>
      </c>
      <c r="I62" s="5" t="s">
        <v>1594</v>
      </c>
      <c r="J62" s="5" t="s">
        <v>243</v>
      </c>
      <c r="K62" s="5"/>
      <c r="L62" s="46" t="s">
        <v>672</v>
      </c>
      <c r="M62" s="5"/>
      <c r="N62" s="5"/>
      <c r="O62" s="5"/>
      <c r="P62" s="5"/>
    </row>
    <row r="63" spans="1:16" ht="168" x14ac:dyDescent="0.25">
      <c r="A63" s="4">
        <v>46</v>
      </c>
      <c r="B63" s="5" t="s">
        <v>17</v>
      </c>
      <c r="C63" s="5" t="s">
        <v>347</v>
      </c>
      <c r="D63" s="5" t="s">
        <v>348</v>
      </c>
      <c r="E63" s="5" t="s">
        <v>20</v>
      </c>
      <c r="F63" s="5" t="s">
        <v>21</v>
      </c>
      <c r="G63" s="5" t="s">
        <v>22</v>
      </c>
      <c r="H63" s="5" t="s">
        <v>23</v>
      </c>
      <c r="I63" s="5" t="s">
        <v>1595</v>
      </c>
      <c r="J63" s="5" t="s">
        <v>246</v>
      </c>
      <c r="K63" s="5"/>
      <c r="L63" s="46" t="s">
        <v>672</v>
      </c>
      <c r="M63" s="5"/>
      <c r="N63" s="5"/>
      <c r="O63" s="5"/>
      <c r="P63" s="5"/>
    </row>
    <row r="64" spans="1:16" x14ac:dyDescent="0.25">
      <c r="A64" s="139" t="s">
        <v>349</v>
      </c>
      <c r="B64" s="140"/>
      <c r="C64" s="140"/>
      <c r="D64" s="140"/>
      <c r="E64" s="140"/>
      <c r="F64" s="140"/>
      <c r="G64" s="140"/>
      <c r="H64" s="140"/>
      <c r="I64" s="140"/>
      <c r="J64" s="140"/>
      <c r="K64" s="140"/>
      <c r="L64" s="140"/>
      <c r="M64" s="140"/>
      <c r="N64" s="140"/>
      <c r="O64" s="140"/>
      <c r="P64" s="140"/>
    </row>
    <row r="65" spans="1:16" ht="120" x14ac:dyDescent="0.25">
      <c r="A65" s="4">
        <v>47</v>
      </c>
      <c r="B65" s="5" t="s">
        <v>17</v>
      </c>
      <c r="C65" s="5" t="s">
        <v>350</v>
      </c>
      <c r="D65" s="5" t="s">
        <v>351</v>
      </c>
      <c r="E65" s="5" t="s">
        <v>20</v>
      </c>
      <c r="F65" s="5" t="s">
        <v>21</v>
      </c>
      <c r="G65" s="5" t="s">
        <v>22</v>
      </c>
      <c r="H65" s="5" t="s">
        <v>23</v>
      </c>
      <c r="I65" s="5" t="s">
        <v>1596</v>
      </c>
      <c r="J65" s="5" t="s">
        <v>254</v>
      </c>
      <c r="K65" s="5"/>
      <c r="L65" s="46" t="s">
        <v>672</v>
      </c>
      <c r="M65" s="5"/>
      <c r="N65" s="5"/>
      <c r="O65" s="5"/>
      <c r="P65" s="5"/>
    </row>
    <row r="66" spans="1:16" ht="120" x14ac:dyDescent="0.25">
      <c r="A66" s="4">
        <v>48</v>
      </c>
      <c r="B66" s="5" t="s">
        <v>17</v>
      </c>
      <c r="C66" s="5" t="s">
        <v>352</v>
      </c>
      <c r="D66" s="5" t="s">
        <v>353</v>
      </c>
      <c r="E66" s="5" t="s">
        <v>20</v>
      </c>
      <c r="F66" s="5" t="s">
        <v>21</v>
      </c>
      <c r="G66" s="5" t="s">
        <v>22</v>
      </c>
      <c r="H66" s="5" t="s">
        <v>23</v>
      </c>
      <c r="I66" s="5" t="s">
        <v>1597</v>
      </c>
      <c r="J66" s="5" t="s">
        <v>257</v>
      </c>
      <c r="K66" s="5"/>
      <c r="L66" s="46" t="s">
        <v>672</v>
      </c>
      <c r="M66" s="5"/>
      <c r="N66" s="5"/>
      <c r="O66" s="5"/>
      <c r="P66" s="5"/>
    </row>
    <row r="67" spans="1:16" ht="144" x14ac:dyDescent="0.25">
      <c r="A67" s="4">
        <v>49</v>
      </c>
      <c r="B67" s="5" t="s">
        <v>17</v>
      </c>
      <c r="C67" s="5" t="s">
        <v>354</v>
      </c>
      <c r="D67" s="5" t="s">
        <v>355</v>
      </c>
      <c r="E67" s="5" t="s">
        <v>20</v>
      </c>
      <c r="F67" s="5" t="s">
        <v>21</v>
      </c>
      <c r="G67" s="5" t="s">
        <v>22</v>
      </c>
      <c r="H67" s="5" t="s">
        <v>23</v>
      </c>
      <c r="I67" s="5" t="s">
        <v>1559</v>
      </c>
      <c r="J67" s="5" t="s">
        <v>243</v>
      </c>
      <c r="K67" s="5"/>
      <c r="L67" s="46" t="s">
        <v>672</v>
      </c>
      <c r="M67" s="5"/>
      <c r="N67" s="5"/>
      <c r="O67" s="5"/>
      <c r="P67" s="5"/>
    </row>
    <row r="68" spans="1:16" ht="144" x14ac:dyDescent="0.25">
      <c r="A68" s="4">
        <v>50</v>
      </c>
      <c r="B68" s="5" t="s">
        <v>17</v>
      </c>
      <c r="C68" s="5" t="s">
        <v>356</v>
      </c>
      <c r="D68" s="5" t="s">
        <v>357</v>
      </c>
      <c r="E68" s="5" t="s">
        <v>20</v>
      </c>
      <c r="F68" s="5" t="s">
        <v>21</v>
      </c>
      <c r="G68" s="5" t="s">
        <v>22</v>
      </c>
      <c r="H68" s="5" t="s">
        <v>23</v>
      </c>
      <c r="I68" s="5" t="s">
        <v>1598</v>
      </c>
      <c r="J68" s="5" t="s">
        <v>254</v>
      </c>
      <c r="K68" s="5"/>
      <c r="L68" s="46" t="s">
        <v>672</v>
      </c>
      <c r="M68" s="5"/>
      <c r="N68" s="5"/>
      <c r="O68" s="5"/>
      <c r="P68" s="5"/>
    </row>
    <row r="69" spans="1:16" ht="144" x14ac:dyDescent="0.25">
      <c r="A69" s="4">
        <v>51</v>
      </c>
      <c r="B69" s="5" t="s">
        <v>17</v>
      </c>
      <c r="C69" s="5" t="s">
        <v>358</v>
      </c>
      <c r="D69" s="5" t="s">
        <v>359</v>
      </c>
      <c r="E69" s="5" t="s">
        <v>20</v>
      </c>
      <c r="F69" s="5" t="s">
        <v>21</v>
      </c>
      <c r="G69" s="5" t="s">
        <v>22</v>
      </c>
      <c r="H69" s="5" t="s">
        <v>23</v>
      </c>
      <c r="I69" s="5" t="s">
        <v>1599</v>
      </c>
      <c r="J69" s="5" t="s">
        <v>254</v>
      </c>
      <c r="K69" s="5"/>
      <c r="L69" s="46" t="s">
        <v>672</v>
      </c>
      <c r="M69" s="5"/>
      <c r="N69" s="5"/>
      <c r="O69" s="5"/>
      <c r="P69" s="5"/>
    </row>
    <row r="70" spans="1:16" ht="156" x14ac:dyDescent="0.25">
      <c r="A70" s="4">
        <v>52</v>
      </c>
      <c r="B70" s="5" t="s">
        <v>17</v>
      </c>
      <c r="C70" s="5" t="s">
        <v>360</v>
      </c>
      <c r="D70" s="5" t="s">
        <v>361</v>
      </c>
      <c r="E70" s="5" t="s">
        <v>20</v>
      </c>
      <c r="F70" s="5" t="s">
        <v>21</v>
      </c>
      <c r="G70" s="5" t="s">
        <v>22</v>
      </c>
      <c r="H70" s="5" t="s">
        <v>23</v>
      </c>
      <c r="I70" s="5" t="s">
        <v>1600</v>
      </c>
      <c r="J70" s="5" t="s">
        <v>266</v>
      </c>
      <c r="K70" s="5"/>
      <c r="L70" s="46" t="s">
        <v>672</v>
      </c>
      <c r="M70" s="5"/>
      <c r="N70" s="5"/>
      <c r="O70" s="5"/>
      <c r="P70" s="5"/>
    </row>
    <row r="71" spans="1:16" ht="168" x14ac:dyDescent="0.25">
      <c r="A71" s="4">
        <v>53</v>
      </c>
      <c r="B71" s="5" t="s">
        <v>17</v>
      </c>
      <c r="C71" s="5" t="s">
        <v>362</v>
      </c>
      <c r="D71" s="5" t="s">
        <v>363</v>
      </c>
      <c r="E71" s="5" t="s">
        <v>20</v>
      </c>
      <c r="F71" s="5" t="s">
        <v>21</v>
      </c>
      <c r="G71" s="5" t="s">
        <v>22</v>
      </c>
      <c r="H71" s="5" t="s">
        <v>23</v>
      </c>
      <c r="I71" s="5" t="s">
        <v>1601</v>
      </c>
      <c r="J71" s="5" t="s">
        <v>269</v>
      </c>
      <c r="K71" s="5"/>
      <c r="L71" s="46" t="s">
        <v>672</v>
      </c>
      <c r="M71" s="5"/>
      <c r="N71" s="5"/>
      <c r="O71" s="5"/>
      <c r="P71" s="5"/>
    </row>
    <row r="72" spans="1:16" x14ac:dyDescent="0.25">
      <c r="A72" s="139" t="s">
        <v>270</v>
      </c>
      <c r="B72" s="140"/>
      <c r="C72" s="140"/>
      <c r="D72" s="140"/>
      <c r="E72" s="140"/>
      <c r="F72" s="140"/>
      <c r="G72" s="140"/>
      <c r="H72" s="140"/>
      <c r="I72" s="140"/>
      <c r="J72" s="140"/>
      <c r="K72" s="140"/>
      <c r="L72" s="140"/>
      <c r="M72" s="140"/>
      <c r="N72" s="140"/>
      <c r="O72" s="140"/>
      <c r="P72" s="140"/>
    </row>
    <row r="73" spans="1:16" ht="264" x14ac:dyDescent="0.25">
      <c r="A73" s="4">
        <v>54</v>
      </c>
      <c r="B73" s="5" t="s">
        <v>17</v>
      </c>
      <c r="C73" s="5" t="s">
        <v>364</v>
      </c>
      <c r="D73" s="5" t="s">
        <v>365</v>
      </c>
      <c r="E73" s="5" t="s">
        <v>20</v>
      </c>
      <c r="F73" s="5" t="s">
        <v>21</v>
      </c>
      <c r="G73" s="5" t="s">
        <v>22</v>
      </c>
      <c r="H73" s="5" t="s">
        <v>23</v>
      </c>
      <c r="I73" s="5" t="s">
        <v>1602</v>
      </c>
      <c r="J73" s="5" t="s">
        <v>273</v>
      </c>
      <c r="K73" s="5"/>
      <c r="L73" s="46" t="s">
        <v>672</v>
      </c>
      <c r="M73" s="5"/>
      <c r="N73" s="5"/>
      <c r="O73" s="5"/>
      <c r="P73" s="5"/>
    </row>
    <row r="74" spans="1:16" ht="276" x14ac:dyDescent="0.25">
      <c r="A74" s="4">
        <v>55</v>
      </c>
      <c r="B74" s="5" t="s">
        <v>17</v>
      </c>
      <c r="C74" s="5" t="s">
        <v>366</v>
      </c>
      <c r="D74" s="5" t="s">
        <v>367</v>
      </c>
      <c r="E74" s="5" t="s">
        <v>20</v>
      </c>
      <c r="F74" s="5" t="s">
        <v>21</v>
      </c>
      <c r="G74" s="5" t="s">
        <v>22</v>
      </c>
      <c r="H74" s="5" t="s">
        <v>23</v>
      </c>
      <c r="I74" s="5" t="s">
        <v>1603</v>
      </c>
      <c r="J74" s="5" t="s">
        <v>254</v>
      </c>
      <c r="K74" s="5"/>
      <c r="L74" s="46" t="s">
        <v>672</v>
      </c>
      <c r="M74" s="5"/>
      <c r="N74" s="5"/>
      <c r="O74" s="5"/>
      <c r="P74" s="5"/>
    </row>
    <row r="75" spans="1:16" ht="276" x14ac:dyDescent="0.25">
      <c r="A75" s="4">
        <v>56</v>
      </c>
      <c r="B75" s="5" t="s">
        <v>17</v>
      </c>
      <c r="C75" s="5" t="s">
        <v>368</v>
      </c>
      <c r="D75" s="5" t="s">
        <v>369</v>
      </c>
      <c r="E75" s="5" t="s">
        <v>20</v>
      </c>
      <c r="F75" s="5" t="s">
        <v>21</v>
      </c>
      <c r="G75" s="5" t="s">
        <v>22</v>
      </c>
      <c r="H75" s="5" t="s">
        <v>23</v>
      </c>
      <c r="I75" s="5" t="s">
        <v>1604</v>
      </c>
      <c r="J75" s="5" t="s">
        <v>273</v>
      </c>
      <c r="K75" s="5"/>
      <c r="L75" s="46" t="s">
        <v>672</v>
      </c>
      <c r="M75" s="5"/>
      <c r="N75" s="5"/>
      <c r="O75" s="5"/>
      <c r="P75" s="5"/>
    </row>
    <row r="76" spans="1:16" ht="384" x14ac:dyDescent="0.25">
      <c r="A76" s="4">
        <v>57</v>
      </c>
      <c r="B76" s="5" t="s">
        <v>17</v>
      </c>
      <c r="C76" s="5" t="s">
        <v>370</v>
      </c>
      <c r="D76" s="5" t="s">
        <v>371</v>
      </c>
      <c r="E76" s="5" t="s">
        <v>20</v>
      </c>
      <c r="F76" s="5" t="s">
        <v>21</v>
      </c>
      <c r="G76" s="5" t="s">
        <v>22</v>
      </c>
      <c r="H76" s="5" t="s">
        <v>23</v>
      </c>
      <c r="I76" s="5" t="s">
        <v>1605</v>
      </c>
      <c r="J76" s="5" t="s">
        <v>280</v>
      </c>
      <c r="K76" s="5"/>
      <c r="L76" s="46" t="s">
        <v>672</v>
      </c>
      <c r="M76" s="5"/>
      <c r="N76" s="5"/>
      <c r="O76" s="5"/>
      <c r="P76" s="5"/>
    </row>
    <row r="77" spans="1:16" ht="409.6" x14ac:dyDescent="0.25">
      <c r="A77" s="4">
        <v>58</v>
      </c>
      <c r="B77" s="5" t="s">
        <v>17</v>
      </c>
      <c r="C77" s="5" t="s">
        <v>372</v>
      </c>
      <c r="D77" s="5" t="s">
        <v>373</v>
      </c>
      <c r="E77" s="5" t="s">
        <v>20</v>
      </c>
      <c r="F77" s="5" t="s">
        <v>21</v>
      </c>
      <c r="G77" s="5" t="s">
        <v>22</v>
      </c>
      <c r="H77" s="5" t="s">
        <v>23</v>
      </c>
      <c r="I77" s="5" t="s">
        <v>1606</v>
      </c>
      <c r="J77" s="5" t="s">
        <v>273</v>
      </c>
      <c r="K77" s="5"/>
      <c r="L77" s="46" t="s">
        <v>672</v>
      </c>
      <c r="M77" s="5"/>
      <c r="N77" s="5"/>
      <c r="O77" s="5"/>
      <c r="P77" s="5"/>
    </row>
    <row r="78" spans="1:16" ht="409.6" x14ac:dyDescent="0.25">
      <c r="A78" s="4">
        <v>59</v>
      </c>
      <c r="B78" s="5" t="s">
        <v>17</v>
      </c>
      <c r="C78" s="5" t="s">
        <v>374</v>
      </c>
      <c r="D78" s="5" t="s">
        <v>375</v>
      </c>
      <c r="E78" s="5" t="s">
        <v>20</v>
      </c>
      <c r="F78" s="5" t="s">
        <v>21</v>
      </c>
      <c r="G78" s="5" t="s">
        <v>22</v>
      </c>
      <c r="H78" s="5" t="s">
        <v>23</v>
      </c>
      <c r="I78" s="5" t="s">
        <v>1606</v>
      </c>
      <c r="J78" s="5" t="s">
        <v>254</v>
      </c>
      <c r="K78" s="5"/>
      <c r="L78" s="46" t="s">
        <v>672</v>
      </c>
      <c r="M78" s="5"/>
      <c r="N78" s="5"/>
      <c r="O78" s="5"/>
      <c r="P78" s="5"/>
    </row>
    <row r="79" spans="1:16" ht="409.6" x14ac:dyDescent="0.25">
      <c r="A79" s="4">
        <v>60</v>
      </c>
      <c r="B79" s="5" t="s">
        <v>17</v>
      </c>
      <c r="C79" s="5" t="s">
        <v>376</v>
      </c>
      <c r="D79" s="5" t="s">
        <v>377</v>
      </c>
      <c r="E79" s="5" t="s">
        <v>20</v>
      </c>
      <c r="F79" s="5" t="s">
        <v>21</v>
      </c>
      <c r="G79" s="5" t="s">
        <v>22</v>
      </c>
      <c r="H79" s="5" t="s">
        <v>23</v>
      </c>
      <c r="I79" s="5" t="s">
        <v>1607</v>
      </c>
      <c r="J79" s="5" t="s">
        <v>254</v>
      </c>
      <c r="K79" s="5"/>
      <c r="L79" s="46" t="s">
        <v>672</v>
      </c>
      <c r="M79" s="5"/>
      <c r="N79" s="5"/>
      <c r="O79" s="5"/>
      <c r="P79" s="5"/>
    </row>
    <row r="80" spans="1:16" ht="288" x14ac:dyDescent="0.25">
      <c r="A80" s="4">
        <v>61</v>
      </c>
      <c r="B80" s="5" t="s">
        <v>17</v>
      </c>
      <c r="C80" s="5" t="s">
        <v>378</v>
      </c>
      <c r="D80" s="5" t="s">
        <v>379</v>
      </c>
      <c r="E80" s="5" t="s">
        <v>20</v>
      </c>
      <c r="F80" s="5" t="s">
        <v>21</v>
      </c>
      <c r="G80" s="5" t="s">
        <v>22</v>
      </c>
      <c r="H80" s="5" t="s">
        <v>23</v>
      </c>
      <c r="I80" s="5" t="s">
        <v>1608</v>
      </c>
      <c r="J80" s="5" t="s">
        <v>273</v>
      </c>
      <c r="K80" s="5"/>
      <c r="L80" s="46" t="s">
        <v>672</v>
      </c>
      <c r="M80" s="5"/>
      <c r="N80" s="5"/>
      <c r="O80" s="5"/>
      <c r="P80" s="5"/>
    </row>
    <row r="81" spans="1:16" x14ac:dyDescent="0.25">
      <c r="A81" s="139" t="s">
        <v>289</v>
      </c>
      <c r="B81" s="140"/>
      <c r="C81" s="140"/>
      <c r="D81" s="140"/>
      <c r="E81" s="140"/>
      <c r="F81" s="140"/>
      <c r="G81" s="140"/>
      <c r="H81" s="140"/>
      <c r="I81" s="140"/>
      <c r="J81" s="140"/>
      <c r="K81" s="140"/>
      <c r="L81" s="140"/>
      <c r="M81" s="140"/>
      <c r="N81" s="140"/>
      <c r="O81" s="140"/>
      <c r="P81" s="140"/>
    </row>
    <row r="82" spans="1:16" ht="192" x14ac:dyDescent="0.25">
      <c r="A82" s="4">
        <v>62</v>
      </c>
      <c r="B82" s="5" t="s">
        <v>17</v>
      </c>
      <c r="C82" s="5" t="s">
        <v>380</v>
      </c>
      <c r="D82" s="5" t="s">
        <v>381</v>
      </c>
      <c r="E82" s="5" t="s">
        <v>20</v>
      </c>
      <c r="F82" s="5" t="s">
        <v>21</v>
      </c>
      <c r="G82" s="5" t="s">
        <v>22</v>
      </c>
      <c r="H82" s="5" t="s">
        <v>23</v>
      </c>
      <c r="I82" s="5" t="s">
        <v>1609</v>
      </c>
      <c r="J82" s="5" t="s">
        <v>280</v>
      </c>
      <c r="K82" s="5"/>
      <c r="L82" s="46" t="s">
        <v>672</v>
      </c>
      <c r="M82" s="5"/>
      <c r="N82" s="5"/>
      <c r="O82" s="5"/>
      <c r="P82" s="5"/>
    </row>
    <row r="83" spans="1:16" ht="228" x14ac:dyDescent="0.25">
      <c r="A83" s="4">
        <v>63</v>
      </c>
      <c r="B83" s="5" t="s">
        <v>17</v>
      </c>
      <c r="C83" s="5" t="s">
        <v>382</v>
      </c>
      <c r="D83" s="5" t="s">
        <v>383</v>
      </c>
      <c r="E83" s="5" t="s">
        <v>20</v>
      </c>
      <c r="F83" s="5" t="s">
        <v>21</v>
      </c>
      <c r="G83" s="5" t="s">
        <v>22</v>
      </c>
      <c r="H83" s="5" t="s">
        <v>23</v>
      </c>
      <c r="I83" s="5" t="s">
        <v>1610</v>
      </c>
      <c r="J83" s="5" t="s">
        <v>254</v>
      </c>
      <c r="K83" s="5"/>
      <c r="L83" s="46" t="s">
        <v>672</v>
      </c>
      <c r="M83" s="5"/>
      <c r="N83" s="5"/>
      <c r="O83" s="5"/>
      <c r="P83" s="5"/>
    </row>
    <row r="84" spans="1:16" ht="228" x14ac:dyDescent="0.25">
      <c r="A84" s="4">
        <v>64</v>
      </c>
      <c r="B84" s="5" t="s">
        <v>17</v>
      </c>
      <c r="C84" s="5" t="s">
        <v>384</v>
      </c>
      <c r="D84" s="5" t="s">
        <v>385</v>
      </c>
      <c r="E84" s="5" t="s">
        <v>20</v>
      </c>
      <c r="F84" s="5" t="s">
        <v>21</v>
      </c>
      <c r="G84" s="5" t="s">
        <v>22</v>
      </c>
      <c r="H84" s="5" t="s">
        <v>23</v>
      </c>
      <c r="I84" s="5" t="s">
        <v>1611</v>
      </c>
      <c r="J84" s="5" t="s">
        <v>273</v>
      </c>
      <c r="K84" s="5"/>
      <c r="L84" s="46" t="s">
        <v>672</v>
      </c>
      <c r="M84" s="5"/>
      <c r="N84" s="5"/>
      <c r="O84" s="5"/>
      <c r="P84" s="5"/>
    </row>
    <row r="85" spans="1:16" ht="288" x14ac:dyDescent="0.25">
      <c r="A85" s="4">
        <v>65</v>
      </c>
      <c r="B85" s="5" t="s">
        <v>17</v>
      </c>
      <c r="C85" s="5" t="s">
        <v>386</v>
      </c>
      <c r="D85" s="5" t="s">
        <v>387</v>
      </c>
      <c r="E85" s="5" t="s">
        <v>20</v>
      </c>
      <c r="F85" s="5" t="s">
        <v>21</v>
      </c>
      <c r="G85" s="5" t="s">
        <v>22</v>
      </c>
      <c r="H85" s="5" t="s">
        <v>23</v>
      </c>
      <c r="I85" s="5" t="s">
        <v>1612</v>
      </c>
      <c r="J85" s="5" t="s">
        <v>280</v>
      </c>
      <c r="K85" s="5"/>
      <c r="L85" s="46" t="s">
        <v>672</v>
      </c>
      <c r="M85" s="5"/>
      <c r="N85" s="5"/>
      <c r="O85" s="5"/>
      <c r="P85" s="5"/>
    </row>
    <row r="86" spans="1:16" ht="372" x14ac:dyDescent="0.25">
      <c r="A86" s="4">
        <v>66</v>
      </c>
      <c r="B86" s="5" t="s">
        <v>17</v>
      </c>
      <c r="C86" s="5" t="s">
        <v>388</v>
      </c>
      <c r="D86" s="5" t="s">
        <v>389</v>
      </c>
      <c r="E86" s="5" t="s">
        <v>20</v>
      </c>
      <c r="F86" s="5" t="s">
        <v>21</v>
      </c>
      <c r="G86" s="5" t="s">
        <v>22</v>
      </c>
      <c r="H86" s="5" t="s">
        <v>23</v>
      </c>
      <c r="I86" s="5" t="s">
        <v>1613</v>
      </c>
      <c r="J86" s="5" t="s">
        <v>273</v>
      </c>
      <c r="K86" s="5"/>
      <c r="L86" s="46" t="s">
        <v>672</v>
      </c>
      <c r="M86" s="5"/>
      <c r="N86" s="5"/>
      <c r="O86" s="5"/>
      <c r="P86" s="5"/>
    </row>
    <row r="87" spans="1:16" ht="372" x14ac:dyDescent="0.25">
      <c r="A87" s="4">
        <v>67</v>
      </c>
      <c r="B87" s="5" t="s">
        <v>17</v>
      </c>
      <c r="C87" s="5" t="s">
        <v>390</v>
      </c>
      <c r="D87" s="5" t="s">
        <v>391</v>
      </c>
      <c r="E87" s="5" t="s">
        <v>20</v>
      </c>
      <c r="F87" s="5" t="s">
        <v>21</v>
      </c>
      <c r="G87" s="5" t="s">
        <v>22</v>
      </c>
      <c r="H87" s="5" t="s">
        <v>23</v>
      </c>
      <c r="I87" s="5" t="s">
        <v>1613</v>
      </c>
      <c r="J87" s="5" t="s">
        <v>254</v>
      </c>
      <c r="K87" s="5"/>
      <c r="L87" s="46" t="s">
        <v>672</v>
      </c>
      <c r="M87" s="5"/>
      <c r="N87" s="5"/>
      <c r="O87" s="5"/>
      <c r="P87" s="5"/>
    </row>
    <row r="88" spans="1:16" ht="372" x14ac:dyDescent="0.25">
      <c r="A88" s="4">
        <v>68</v>
      </c>
      <c r="B88" s="5" t="s">
        <v>17</v>
      </c>
      <c r="C88" s="5" t="s">
        <v>392</v>
      </c>
      <c r="D88" s="5" t="s">
        <v>393</v>
      </c>
      <c r="E88" s="5" t="s">
        <v>20</v>
      </c>
      <c r="F88" s="5" t="s">
        <v>21</v>
      </c>
      <c r="G88" s="5" t="s">
        <v>22</v>
      </c>
      <c r="H88" s="5" t="s">
        <v>23</v>
      </c>
      <c r="I88" s="5" t="s">
        <v>1614</v>
      </c>
      <c r="J88" s="5" t="s">
        <v>254</v>
      </c>
      <c r="K88" s="5"/>
      <c r="L88" s="46" t="s">
        <v>672</v>
      </c>
      <c r="M88" s="5"/>
      <c r="N88" s="5"/>
      <c r="O88" s="5"/>
      <c r="P88" s="5"/>
    </row>
    <row r="89" spans="1:16" ht="240" x14ac:dyDescent="0.25">
      <c r="A89" s="4">
        <v>69</v>
      </c>
      <c r="B89" s="5" t="s">
        <v>17</v>
      </c>
      <c r="C89" s="5" t="s">
        <v>394</v>
      </c>
      <c r="D89" s="5" t="s">
        <v>395</v>
      </c>
      <c r="E89" s="5" t="s">
        <v>20</v>
      </c>
      <c r="F89" s="5" t="s">
        <v>21</v>
      </c>
      <c r="G89" s="5" t="s">
        <v>22</v>
      </c>
      <c r="H89" s="5" t="s">
        <v>23</v>
      </c>
      <c r="I89" s="5" t="s">
        <v>1615</v>
      </c>
      <c r="J89" s="5" t="s">
        <v>273</v>
      </c>
      <c r="K89" s="5"/>
      <c r="L89" s="46" t="s">
        <v>672</v>
      </c>
      <c r="M89" s="5"/>
      <c r="N89" s="5"/>
      <c r="O89" s="5"/>
      <c r="P89" s="5"/>
    </row>
    <row r="90" spans="1:16" x14ac:dyDescent="0.25">
      <c r="A90" s="139" t="s">
        <v>396</v>
      </c>
      <c r="B90" s="140"/>
      <c r="C90" s="140"/>
      <c r="D90" s="140"/>
      <c r="E90" s="140"/>
      <c r="F90" s="140"/>
      <c r="G90" s="140"/>
      <c r="H90" s="140"/>
      <c r="I90" s="140"/>
      <c r="J90" s="140"/>
      <c r="K90" s="140"/>
      <c r="L90" s="140"/>
      <c r="M90" s="140"/>
      <c r="N90" s="140"/>
      <c r="O90" s="140"/>
      <c r="P90" s="140"/>
    </row>
    <row r="91" spans="1:16" ht="216" x14ac:dyDescent="0.25">
      <c r="A91" s="4">
        <v>70</v>
      </c>
      <c r="B91" s="5" t="s">
        <v>17</v>
      </c>
      <c r="C91" s="5" t="s">
        <v>397</v>
      </c>
      <c r="D91" s="5" t="s">
        <v>398</v>
      </c>
      <c r="E91" s="5" t="s">
        <v>20</v>
      </c>
      <c r="F91" s="5" t="s">
        <v>21</v>
      </c>
      <c r="G91" s="5" t="s">
        <v>22</v>
      </c>
      <c r="H91" s="5" t="s">
        <v>23</v>
      </c>
      <c r="I91" s="5" t="s">
        <v>1616</v>
      </c>
      <c r="J91" s="5" t="s">
        <v>269</v>
      </c>
      <c r="K91" s="5"/>
      <c r="L91" s="46" t="s">
        <v>672</v>
      </c>
      <c r="M91" s="5"/>
      <c r="N91" s="5"/>
      <c r="O91" s="5"/>
      <c r="P91" s="5"/>
    </row>
    <row r="92" spans="1:16" x14ac:dyDescent="0.25">
      <c r="A92" s="139" t="s">
        <v>399</v>
      </c>
      <c r="B92" s="140"/>
      <c r="C92" s="140"/>
      <c r="D92" s="140"/>
      <c r="E92" s="140"/>
      <c r="F92" s="140"/>
      <c r="G92" s="140"/>
      <c r="H92" s="140"/>
      <c r="I92" s="140"/>
      <c r="J92" s="140"/>
      <c r="K92" s="140"/>
      <c r="L92" s="140"/>
      <c r="M92" s="140"/>
      <c r="N92" s="140"/>
      <c r="O92" s="140"/>
      <c r="P92" s="140"/>
    </row>
    <row r="93" spans="1:16" ht="324" x14ac:dyDescent="0.25">
      <c r="A93" s="4">
        <v>71</v>
      </c>
      <c r="B93" s="5" t="s">
        <v>17</v>
      </c>
      <c r="C93" s="5" t="s">
        <v>400</v>
      </c>
      <c r="D93" s="5" t="s">
        <v>401</v>
      </c>
      <c r="E93" s="5" t="s">
        <v>55</v>
      </c>
      <c r="F93" s="5" t="s">
        <v>21</v>
      </c>
      <c r="G93" s="5" t="s">
        <v>22</v>
      </c>
      <c r="H93" s="5" t="s">
        <v>23</v>
      </c>
      <c r="I93" s="5" t="s">
        <v>1617</v>
      </c>
      <c r="J93" s="5" t="s">
        <v>254</v>
      </c>
      <c r="K93" s="5"/>
      <c r="L93" s="46" t="s">
        <v>672</v>
      </c>
      <c r="M93" s="5"/>
      <c r="N93" s="5"/>
      <c r="O93" s="5"/>
      <c r="P93" s="5"/>
    </row>
    <row r="94" spans="1:16" ht="312" x14ac:dyDescent="0.25">
      <c r="A94" s="4">
        <v>72</v>
      </c>
      <c r="B94" s="5" t="s">
        <v>17</v>
      </c>
      <c r="C94" s="5" t="s">
        <v>402</v>
      </c>
      <c r="D94" s="5" t="s">
        <v>403</v>
      </c>
      <c r="E94" s="5" t="s">
        <v>55</v>
      </c>
      <c r="F94" s="5" t="s">
        <v>21</v>
      </c>
      <c r="G94" s="5" t="s">
        <v>22</v>
      </c>
      <c r="H94" s="5" t="s">
        <v>23</v>
      </c>
      <c r="I94" s="5" t="s">
        <v>1618</v>
      </c>
      <c r="J94" s="5" t="s">
        <v>254</v>
      </c>
      <c r="K94" s="5"/>
      <c r="L94" s="46" t="s">
        <v>672</v>
      </c>
      <c r="M94" s="5"/>
      <c r="N94" s="5"/>
      <c r="O94" s="5"/>
      <c r="P94" s="5"/>
    </row>
    <row r="95" spans="1:16" ht="300" x14ac:dyDescent="0.25">
      <c r="A95" s="4">
        <v>73</v>
      </c>
      <c r="B95" s="5" t="s">
        <v>17</v>
      </c>
      <c r="C95" s="5" t="s">
        <v>404</v>
      </c>
      <c r="D95" s="5" t="s">
        <v>405</v>
      </c>
      <c r="E95" s="5" t="s">
        <v>55</v>
      </c>
      <c r="F95" s="5" t="s">
        <v>21</v>
      </c>
      <c r="G95" s="5" t="s">
        <v>22</v>
      </c>
      <c r="H95" s="5" t="s">
        <v>23</v>
      </c>
      <c r="I95" s="5" t="s">
        <v>1619</v>
      </c>
      <c r="J95" s="5" t="s">
        <v>254</v>
      </c>
      <c r="K95" s="5"/>
      <c r="L95" s="46" t="s">
        <v>672</v>
      </c>
      <c r="M95" s="5"/>
      <c r="N95" s="5"/>
      <c r="O95" s="5"/>
      <c r="P95" s="5"/>
    </row>
    <row r="96" spans="1:16" ht="264" x14ac:dyDescent="0.25">
      <c r="A96" s="4">
        <v>74</v>
      </c>
      <c r="B96" s="5" t="s">
        <v>17</v>
      </c>
      <c r="C96" s="5" t="s">
        <v>406</v>
      </c>
      <c r="D96" s="5" t="s">
        <v>407</v>
      </c>
      <c r="E96" s="5" t="s">
        <v>20</v>
      </c>
      <c r="F96" s="5" t="s">
        <v>21</v>
      </c>
      <c r="G96" s="5" t="s">
        <v>22</v>
      </c>
      <c r="H96" s="5" t="s">
        <v>23</v>
      </c>
      <c r="I96" s="5" t="s">
        <v>1620</v>
      </c>
      <c r="J96" s="5" t="s">
        <v>254</v>
      </c>
      <c r="K96" s="5"/>
      <c r="L96" s="46" t="s">
        <v>672</v>
      </c>
      <c r="M96" s="5"/>
      <c r="N96" s="5"/>
      <c r="O96" s="5"/>
      <c r="P96" s="5"/>
    </row>
    <row r="97" spans="1:16" x14ac:dyDescent="0.25">
      <c r="A97" s="139" t="s">
        <v>408</v>
      </c>
      <c r="B97" s="140"/>
      <c r="C97" s="140"/>
      <c r="D97" s="140"/>
      <c r="E97" s="140"/>
      <c r="F97" s="140"/>
      <c r="G97" s="140"/>
      <c r="H97" s="140"/>
      <c r="I97" s="140"/>
      <c r="J97" s="140"/>
      <c r="K97" s="140"/>
      <c r="L97" s="140"/>
      <c r="M97" s="140"/>
      <c r="N97" s="140"/>
      <c r="O97" s="140"/>
      <c r="P97" s="140"/>
    </row>
    <row r="98" spans="1:16" ht="144" x14ac:dyDescent="0.25">
      <c r="A98" s="4">
        <v>75</v>
      </c>
      <c r="B98" s="5" t="s">
        <v>17</v>
      </c>
      <c r="C98" s="5" t="s">
        <v>409</v>
      </c>
      <c r="D98" s="5" t="s">
        <v>410</v>
      </c>
      <c r="E98" s="5" t="s">
        <v>20</v>
      </c>
      <c r="F98" s="5" t="s">
        <v>21</v>
      </c>
      <c r="G98" s="5" t="s">
        <v>22</v>
      </c>
      <c r="H98" s="5" t="s">
        <v>23</v>
      </c>
      <c r="I98" s="5" t="s">
        <v>1621</v>
      </c>
      <c r="J98" s="5" t="s">
        <v>321</v>
      </c>
      <c r="K98" s="5"/>
      <c r="L98" s="46" t="s">
        <v>672</v>
      </c>
      <c r="M98" s="5"/>
      <c r="N98" s="5"/>
      <c r="O98" s="5"/>
      <c r="P98" s="5"/>
    </row>
    <row r="99" spans="1:16" x14ac:dyDescent="0.25">
      <c r="A99" s="139" t="s">
        <v>411</v>
      </c>
      <c r="B99" s="140"/>
      <c r="C99" s="140"/>
      <c r="D99" s="140"/>
      <c r="E99" s="140"/>
      <c r="F99" s="140"/>
      <c r="G99" s="140"/>
      <c r="H99" s="140"/>
      <c r="I99" s="140"/>
      <c r="J99" s="140"/>
      <c r="K99" s="140"/>
      <c r="L99" s="140"/>
      <c r="M99" s="140"/>
      <c r="N99" s="140"/>
      <c r="O99" s="140"/>
      <c r="P99" s="140"/>
    </row>
    <row r="100" spans="1:16" ht="120" x14ac:dyDescent="0.25">
      <c r="A100" s="4">
        <v>76</v>
      </c>
      <c r="B100" s="5" t="s">
        <v>17</v>
      </c>
      <c r="C100" s="5" t="s">
        <v>412</v>
      </c>
      <c r="D100" s="5" t="s">
        <v>413</v>
      </c>
      <c r="E100" s="5" t="s">
        <v>55</v>
      </c>
      <c r="F100" s="5" t="s">
        <v>21</v>
      </c>
      <c r="G100" s="5" t="s">
        <v>22</v>
      </c>
      <c r="H100" s="5" t="s">
        <v>23</v>
      </c>
      <c r="I100" s="5" t="s">
        <v>1622</v>
      </c>
      <c r="J100" s="5" t="s">
        <v>324</v>
      </c>
      <c r="K100" s="5"/>
      <c r="L100" s="46" t="s">
        <v>672</v>
      </c>
      <c r="M100" s="5"/>
      <c r="N100" s="5"/>
      <c r="O100" s="5"/>
      <c r="P100" s="5"/>
    </row>
    <row r="101" spans="1:16" ht="120" x14ac:dyDescent="0.25">
      <c r="A101" s="4">
        <v>77</v>
      </c>
      <c r="B101" s="5" t="s">
        <v>17</v>
      </c>
      <c r="C101" s="5" t="s">
        <v>414</v>
      </c>
      <c r="D101" s="5" t="s">
        <v>415</v>
      </c>
      <c r="E101" s="5" t="s">
        <v>55</v>
      </c>
      <c r="F101" s="5" t="s">
        <v>21</v>
      </c>
      <c r="G101" s="5" t="s">
        <v>22</v>
      </c>
      <c r="H101" s="5" t="s">
        <v>23</v>
      </c>
      <c r="I101" s="5" t="s">
        <v>1623</v>
      </c>
      <c r="J101" s="5" t="s">
        <v>324</v>
      </c>
      <c r="K101" s="5"/>
      <c r="L101" s="46" t="s">
        <v>672</v>
      </c>
      <c r="M101" s="5"/>
      <c r="N101" s="5"/>
      <c r="O101" s="5"/>
      <c r="P101" s="5"/>
    </row>
    <row r="102" spans="1:16" x14ac:dyDescent="0.25">
      <c r="A102" s="139" t="s">
        <v>416</v>
      </c>
      <c r="B102" s="140"/>
      <c r="C102" s="140"/>
      <c r="D102" s="140"/>
      <c r="E102" s="140"/>
      <c r="F102" s="140"/>
      <c r="G102" s="140"/>
      <c r="H102" s="140"/>
      <c r="I102" s="140"/>
      <c r="J102" s="140"/>
      <c r="K102" s="140"/>
      <c r="L102" s="140"/>
      <c r="M102" s="140"/>
      <c r="N102" s="140"/>
      <c r="O102" s="140"/>
      <c r="P102" s="140"/>
    </row>
    <row r="103" spans="1:16" ht="120" x14ac:dyDescent="0.25">
      <c r="A103" s="4">
        <v>78</v>
      </c>
      <c r="B103" s="5" t="s">
        <v>17</v>
      </c>
      <c r="C103" s="5" t="s">
        <v>417</v>
      </c>
      <c r="D103" s="5" t="s">
        <v>418</v>
      </c>
      <c r="E103" s="5" t="s">
        <v>20</v>
      </c>
      <c r="F103" s="5" t="s">
        <v>21</v>
      </c>
      <c r="G103" s="5" t="s">
        <v>22</v>
      </c>
      <c r="H103" s="5" t="s">
        <v>23</v>
      </c>
      <c r="I103" s="5" t="s">
        <v>1623</v>
      </c>
      <c r="J103" s="5" t="s">
        <v>324</v>
      </c>
      <c r="K103" s="5"/>
      <c r="L103" s="46" t="s">
        <v>672</v>
      </c>
      <c r="M103" s="5"/>
      <c r="N103" s="5"/>
      <c r="O103" s="5"/>
      <c r="P103" s="5"/>
    </row>
    <row r="104" spans="1:16" x14ac:dyDescent="0.25">
      <c r="A104" s="139" t="s">
        <v>419</v>
      </c>
      <c r="B104" s="140"/>
      <c r="C104" s="140"/>
      <c r="D104" s="140"/>
      <c r="E104" s="140"/>
      <c r="F104" s="140"/>
      <c r="G104" s="140"/>
      <c r="H104" s="140"/>
      <c r="I104" s="140"/>
      <c r="J104" s="140"/>
      <c r="K104" s="140"/>
      <c r="L104" s="140"/>
      <c r="M104" s="140"/>
      <c r="N104" s="140"/>
      <c r="O104" s="140"/>
      <c r="P104" s="140"/>
    </row>
    <row r="105" spans="1:16" x14ac:dyDescent="0.25">
      <c r="A105" s="139" t="s">
        <v>420</v>
      </c>
      <c r="B105" s="140"/>
      <c r="C105" s="140"/>
      <c r="D105" s="140"/>
      <c r="E105" s="140"/>
      <c r="F105" s="140"/>
      <c r="G105" s="140"/>
      <c r="H105" s="140"/>
      <c r="I105" s="140"/>
      <c r="J105" s="140"/>
      <c r="K105" s="140"/>
      <c r="L105" s="140"/>
      <c r="M105" s="140"/>
      <c r="N105" s="140"/>
      <c r="O105" s="140"/>
      <c r="P105" s="140"/>
    </row>
    <row r="106" spans="1:16" ht="144" x14ac:dyDescent="0.25">
      <c r="A106" s="4">
        <v>79</v>
      </c>
      <c r="B106" s="5" t="s">
        <v>17</v>
      </c>
      <c r="C106" s="5" t="s">
        <v>421</v>
      </c>
      <c r="D106" s="5" t="s">
        <v>422</v>
      </c>
      <c r="E106" s="5" t="s">
        <v>20</v>
      </c>
      <c r="F106" s="5" t="s">
        <v>21</v>
      </c>
      <c r="G106" s="5" t="s">
        <v>22</v>
      </c>
      <c r="H106" s="5" t="s">
        <v>23</v>
      </c>
      <c r="I106" s="5" t="s">
        <v>1624</v>
      </c>
      <c r="J106" s="5" t="s">
        <v>231</v>
      </c>
      <c r="K106" s="5"/>
      <c r="L106" s="46" t="s">
        <v>672</v>
      </c>
      <c r="M106" s="5"/>
      <c r="N106" s="5"/>
      <c r="O106" s="5"/>
      <c r="P106" s="5"/>
    </row>
    <row r="107" spans="1:16" ht="120" x14ac:dyDescent="0.25">
      <c r="A107" s="4">
        <v>80</v>
      </c>
      <c r="B107" s="5" t="s">
        <v>17</v>
      </c>
      <c r="C107" s="5" t="s">
        <v>423</v>
      </c>
      <c r="D107" s="5" t="s">
        <v>424</v>
      </c>
      <c r="E107" s="5" t="s">
        <v>20</v>
      </c>
      <c r="F107" s="5" t="s">
        <v>21</v>
      </c>
      <c r="G107" s="5" t="s">
        <v>22</v>
      </c>
      <c r="H107" s="5" t="s">
        <v>23</v>
      </c>
      <c r="I107" s="5" t="s">
        <v>1625</v>
      </c>
      <c r="J107" s="5" t="s">
        <v>231</v>
      </c>
      <c r="K107" s="5"/>
      <c r="L107" s="46" t="s">
        <v>672</v>
      </c>
      <c r="M107" s="5"/>
      <c r="N107" s="5"/>
      <c r="O107" s="5"/>
      <c r="P107" s="5"/>
    </row>
    <row r="108" spans="1:16" ht="144" x14ac:dyDescent="0.25">
      <c r="A108" s="4">
        <v>81</v>
      </c>
      <c r="B108" s="5" t="s">
        <v>17</v>
      </c>
      <c r="C108" s="5" t="s">
        <v>425</v>
      </c>
      <c r="D108" s="5" t="s">
        <v>426</v>
      </c>
      <c r="E108" s="5" t="s">
        <v>20</v>
      </c>
      <c r="F108" s="5" t="s">
        <v>21</v>
      </c>
      <c r="G108" s="5" t="s">
        <v>22</v>
      </c>
      <c r="H108" s="5" t="s">
        <v>23</v>
      </c>
      <c r="I108" s="5" t="s">
        <v>1626</v>
      </c>
      <c r="J108" s="5" t="s">
        <v>231</v>
      </c>
      <c r="K108" s="5"/>
      <c r="L108" s="46" t="s">
        <v>672</v>
      </c>
      <c r="M108" s="5"/>
      <c r="N108" s="5"/>
      <c r="O108" s="5"/>
      <c r="P108" s="5"/>
    </row>
  </sheetData>
  <mergeCells count="34">
    <mergeCell ref="A47:P47"/>
    <mergeCell ref="A5:P5"/>
    <mergeCell ref="A57:P57"/>
    <mergeCell ref="A53:P53"/>
    <mergeCell ref="A105:P105"/>
    <mergeCell ref="A12:P12"/>
    <mergeCell ref="A50:P50"/>
    <mergeCell ref="A104:P104"/>
    <mergeCell ref="A90:P90"/>
    <mergeCell ref="A99:P99"/>
    <mergeCell ref="A56:P56"/>
    <mergeCell ref="A102:P102"/>
    <mergeCell ref="A40:P40"/>
    <mergeCell ref="A92:P92"/>
    <mergeCell ref="K2:K3"/>
    <mergeCell ref="A45:P45"/>
    <mergeCell ref="M2:M3"/>
    <mergeCell ref="B2:B3"/>
    <mergeCell ref="A4:P4"/>
    <mergeCell ref="A38:P38"/>
    <mergeCell ref="A20:P20"/>
    <mergeCell ref="A29:P29"/>
    <mergeCell ref="H2:H3"/>
    <mergeCell ref="C2:F2"/>
    <mergeCell ref="G2:G3"/>
    <mergeCell ref="I2:I3"/>
    <mergeCell ref="J2:J3"/>
    <mergeCell ref="L2:L3"/>
    <mergeCell ref="A2:A3"/>
    <mergeCell ref="A97:P97"/>
    <mergeCell ref="A72:P72"/>
    <mergeCell ref="A52:P52"/>
    <mergeCell ref="A81:P81"/>
    <mergeCell ref="A64:P64"/>
  </mergeCells>
  <phoneticPr fontId="4" type="noConversion"/>
  <conditionalFormatting sqref="L6">
    <cfRule type="cellIs" dxfId="115" priority="24" operator="equal">
      <formula>"Fail"</formula>
    </cfRule>
  </conditionalFormatting>
  <conditionalFormatting sqref="L7">
    <cfRule type="cellIs" dxfId="114" priority="23" operator="equal">
      <formula>"Fail"</formula>
    </cfRule>
  </conditionalFormatting>
  <conditionalFormatting sqref="L8">
    <cfRule type="cellIs" dxfId="113" priority="22" operator="equal">
      <formula>"Fail"</formula>
    </cfRule>
  </conditionalFormatting>
  <conditionalFormatting sqref="L9:L11">
    <cfRule type="cellIs" dxfId="112" priority="21" operator="equal">
      <formula>"Fail"</formula>
    </cfRule>
  </conditionalFormatting>
  <conditionalFormatting sqref="L13:L19">
    <cfRule type="cellIs" dxfId="111" priority="20" operator="equal">
      <formula>"Fail"</formula>
    </cfRule>
  </conditionalFormatting>
  <conditionalFormatting sqref="L21:L28">
    <cfRule type="cellIs" dxfId="110" priority="19" operator="equal">
      <formula>"Fail"</formula>
    </cfRule>
  </conditionalFormatting>
  <conditionalFormatting sqref="L30:L37">
    <cfRule type="cellIs" dxfId="109" priority="18" operator="equal">
      <formula>"Fail"</formula>
    </cfRule>
  </conditionalFormatting>
  <conditionalFormatting sqref="L39">
    <cfRule type="cellIs" dxfId="108" priority="17" operator="equal">
      <formula>"Fail"</formula>
    </cfRule>
  </conditionalFormatting>
  <conditionalFormatting sqref="L41:L44">
    <cfRule type="cellIs" dxfId="107" priority="16" operator="equal">
      <formula>"Fail"</formula>
    </cfRule>
  </conditionalFormatting>
  <conditionalFormatting sqref="L46">
    <cfRule type="cellIs" dxfId="106" priority="15" operator="equal">
      <formula>"Fail"</formula>
    </cfRule>
  </conditionalFormatting>
  <conditionalFormatting sqref="L48:L49">
    <cfRule type="cellIs" dxfId="105" priority="14" operator="equal">
      <formula>"Fail"</formula>
    </cfRule>
  </conditionalFormatting>
  <conditionalFormatting sqref="L51">
    <cfRule type="cellIs" dxfId="104" priority="13" operator="equal">
      <formula>"Fail"</formula>
    </cfRule>
  </conditionalFormatting>
  <conditionalFormatting sqref="L54">
    <cfRule type="cellIs" dxfId="103" priority="12" operator="equal">
      <formula>"Fail"</formula>
    </cfRule>
  </conditionalFormatting>
  <conditionalFormatting sqref="L55">
    <cfRule type="cellIs" dxfId="102" priority="11" operator="equal">
      <formula>"Fail"</formula>
    </cfRule>
  </conditionalFormatting>
  <conditionalFormatting sqref="L58:L63">
    <cfRule type="cellIs" dxfId="101" priority="10" operator="equal">
      <formula>"Fail"</formula>
    </cfRule>
  </conditionalFormatting>
  <conditionalFormatting sqref="L65:L71">
    <cfRule type="cellIs" dxfId="100" priority="9" operator="equal">
      <formula>"Fail"</formula>
    </cfRule>
  </conditionalFormatting>
  <conditionalFormatting sqref="L73:L80">
    <cfRule type="cellIs" dxfId="99" priority="8" operator="equal">
      <formula>"Fail"</formula>
    </cfRule>
  </conditionalFormatting>
  <conditionalFormatting sqref="L82:L89">
    <cfRule type="cellIs" dxfId="98" priority="7" operator="equal">
      <formula>"Fail"</formula>
    </cfRule>
  </conditionalFormatting>
  <conditionalFormatting sqref="L91">
    <cfRule type="cellIs" dxfId="97" priority="6" operator="equal">
      <formula>"Fail"</formula>
    </cfRule>
  </conditionalFormatting>
  <conditionalFormatting sqref="L93:L96">
    <cfRule type="cellIs" dxfId="96" priority="5" operator="equal">
      <formula>"Fail"</formula>
    </cfRule>
  </conditionalFormatting>
  <conditionalFormatting sqref="L98">
    <cfRule type="cellIs" dxfId="95" priority="4" operator="equal">
      <formula>"Fail"</formula>
    </cfRule>
  </conditionalFormatting>
  <conditionalFormatting sqref="L100:L101">
    <cfRule type="cellIs" dxfId="94" priority="3" operator="equal">
      <formula>"Fail"</formula>
    </cfRule>
  </conditionalFormatting>
  <conditionalFormatting sqref="L103">
    <cfRule type="cellIs" dxfId="93" priority="2" operator="equal">
      <formula>"Fail"</formula>
    </cfRule>
  </conditionalFormatting>
  <conditionalFormatting sqref="L106:L108">
    <cfRule type="cellIs" dxfId="92" priority="1" operator="equal">
      <formula>"Fail"</formula>
    </cfRule>
  </conditionalFormatting>
  <dataValidations count="1">
    <dataValidation type="list" allowBlank="1" showInputMessage="1" showErrorMessage="1" sqref="L6:L11 L13:L19 L21:L28 L30:L37 L39 L41:L44 L46 L48:L49 L51 L54:L55 L58:L63 L65:L71 L73:L80 L82:L89 L91 L93:L96 L98 L100:L101 L103 L106:L108">
      <formula1>"Pass,Fail,Not Apply,Block,Skip"</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
  <sheetViews>
    <sheetView topLeftCell="A82" zoomScale="85" zoomScaleNormal="85" workbookViewId="0">
      <selection activeCell="I83" sqref="I83"/>
    </sheetView>
  </sheetViews>
  <sheetFormatPr defaultRowHeight="14.4" x14ac:dyDescent="0.25"/>
  <cols>
    <col min="2" max="2" width="19.77734375" customWidth="1"/>
    <col min="3" max="3" width="14.5546875" customWidth="1"/>
    <col min="4" max="4" width="23.33203125" customWidth="1"/>
    <col min="7" max="7" width="10.33203125" customWidth="1"/>
    <col min="9" max="9" width="58.88671875" customWidth="1"/>
    <col min="10" max="10" width="42.33203125" customWidth="1"/>
    <col min="11" max="11" width="21.21875" customWidth="1"/>
    <col min="12" max="12" width="20.109375" customWidth="1"/>
    <col min="13" max="13" width="13.44140625" customWidth="1"/>
  </cols>
  <sheetData>
    <row r="1" spans="1:13" s="7" customFormat="1" x14ac:dyDescent="0.25">
      <c r="B1" s="8" t="s">
        <v>0</v>
      </c>
      <c r="C1" s="8" t="s">
        <v>1</v>
      </c>
    </row>
    <row r="2" spans="1:13" s="7" customFormat="1" x14ac:dyDescent="0.25">
      <c r="A2" s="144" t="s">
        <v>2</v>
      </c>
      <c r="B2" s="142" t="s">
        <v>3</v>
      </c>
      <c r="C2" s="144" t="s">
        <v>4</v>
      </c>
      <c r="D2" s="140"/>
      <c r="E2" s="140"/>
      <c r="F2" s="143"/>
      <c r="G2" s="142" t="s">
        <v>5</v>
      </c>
      <c r="H2" s="142" t="s">
        <v>6</v>
      </c>
      <c r="I2" s="142" t="s">
        <v>7</v>
      </c>
      <c r="J2" s="142" t="s">
        <v>8</v>
      </c>
      <c r="K2" s="142" t="s">
        <v>9</v>
      </c>
      <c r="L2" s="142" t="s">
        <v>10</v>
      </c>
      <c r="M2" s="142" t="s">
        <v>11</v>
      </c>
    </row>
    <row r="3" spans="1:13" s="7" customFormat="1" x14ac:dyDescent="0.25">
      <c r="A3" s="143"/>
      <c r="B3" s="143"/>
      <c r="C3" s="2" t="s">
        <v>12</v>
      </c>
      <c r="D3" s="2" t="s">
        <v>13</v>
      </c>
      <c r="E3" s="2" t="s">
        <v>14</v>
      </c>
      <c r="F3" s="2" t="s">
        <v>15</v>
      </c>
      <c r="G3" s="143"/>
      <c r="H3" s="143"/>
      <c r="I3" s="143"/>
      <c r="J3" s="143"/>
      <c r="K3" s="143"/>
      <c r="L3" s="143"/>
      <c r="M3" s="143"/>
    </row>
    <row r="4" spans="1:13" s="120" customFormat="1" ht="15" x14ac:dyDescent="0.25">
      <c r="A4" s="147" t="s">
        <v>1492</v>
      </c>
      <c r="B4" s="148"/>
      <c r="C4" s="148"/>
      <c r="D4" s="148"/>
      <c r="E4" s="148"/>
      <c r="F4" s="148"/>
      <c r="G4" s="148"/>
      <c r="H4" s="148"/>
      <c r="I4" s="148"/>
      <c r="J4" s="148"/>
      <c r="K4" s="148"/>
      <c r="L4" s="148"/>
      <c r="M4" s="149"/>
    </row>
    <row r="5" spans="1:13" x14ac:dyDescent="0.25">
      <c r="A5" s="147" t="s">
        <v>16</v>
      </c>
      <c r="B5" s="148"/>
      <c r="C5" s="148"/>
      <c r="D5" s="148"/>
      <c r="E5" s="148"/>
      <c r="F5" s="148"/>
      <c r="G5" s="148"/>
      <c r="H5" s="148"/>
      <c r="I5" s="148"/>
      <c r="J5" s="148"/>
      <c r="K5" s="148"/>
      <c r="L5" s="148"/>
      <c r="M5" s="149"/>
    </row>
    <row r="6" spans="1:13" ht="75.599999999999994" customHeight="1" x14ac:dyDescent="0.25">
      <c r="A6" s="72">
        <f>MAX($A$1:A5)+1</f>
        <v>1</v>
      </c>
      <c r="B6" s="73" t="s">
        <v>1405</v>
      </c>
      <c r="C6" s="74" t="str">
        <f xml:space="preserve"> "Diag_0x27_Phy_" &amp; TEXT(A6, "000")</f>
        <v>Diag_0x27_Phy_001</v>
      </c>
      <c r="D6" s="74" t="s">
        <v>240</v>
      </c>
      <c r="E6" s="75" t="s">
        <v>20</v>
      </c>
      <c r="F6" s="76" t="s">
        <v>1499</v>
      </c>
      <c r="G6" s="76" t="s">
        <v>1406</v>
      </c>
      <c r="H6" s="59" t="s">
        <v>1407</v>
      </c>
      <c r="I6" s="77" t="s">
        <v>1717</v>
      </c>
      <c r="J6" s="78" t="s">
        <v>1722</v>
      </c>
      <c r="K6" s="79"/>
      <c r="L6" s="80" t="s">
        <v>671</v>
      </c>
      <c r="M6" s="81"/>
    </row>
    <row r="7" spans="1:13" ht="72.599999999999994" customHeight="1" x14ac:dyDescent="0.25">
      <c r="A7" s="72">
        <f>MAX($A$1:A6)+1</f>
        <v>2</v>
      </c>
      <c r="B7" s="73" t="s">
        <v>1405</v>
      </c>
      <c r="C7" s="74" t="str">
        <f t="shared" ref="C7:C10" si="0" xml:space="preserve"> "Diag_0x27_Phy_" &amp; TEXT(A7, "000")</f>
        <v>Diag_0x27_Phy_002</v>
      </c>
      <c r="D7" s="74" t="s">
        <v>1408</v>
      </c>
      <c r="E7" s="75" t="s">
        <v>20</v>
      </c>
      <c r="F7" s="76" t="s">
        <v>1499</v>
      </c>
      <c r="G7" s="76" t="s">
        <v>1095</v>
      </c>
      <c r="H7" s="59" t="s">
        <v>1409</v>
      </c>
      <c r="I7" s="77" t="s">
        <v>1494</v>
      </c>
      <c r="J7" s="78" t="s">
        <v>1723</v>
      </c>
      <c r="K7" s="82"/>
      <c r="L7" s="80" t="s">
        <v>671</v>
      </c>
      <c r="M7" s="83"/>
    </row>
    <row r="8" spans="1:13" ht="82.2" customHeight="1" x14ac:dyDescent="0.25">
      <c r="A8" s="72">
        <f>MAX($A$1:A7)+1</f>
        <v>3</v>
      </c>
      <c r="B8" s="73" t="s">
        <v>1405</v>
      </c>
      <c r="C8" s="74" t="str">
        <f t="shared" si="0"/>
        <v>Diag_0x27_Phy_003</v>
      </c>
      <c r="D8" s="74" t="s">
        <v>250</v>
      </c>
      <c r="E8" s="75" t="s">
        <v>20</v>
      </c>
      <c r="F8" s="76" t="s">
        <v>1499</v>
      </c>
      <c r="G8" s="76" t="s">
        <v>1406</v>
      </c>
      <c r="H8" s="59" t="s">
        <v>1410</v>
      </c>
      <c r="I8" s="77" t="s">
        <v>1493</v>
      </c>
      <c r="J8" s="78" t="s">
        <v>1724</v>
      </c>
      <c r="K8" s="82"/>
      <c r="L8" s="80" t="s">
        <v>671</v>
      </c>
      <c r="M8" s="83"/>
    </row>
    <row r="9" spans="1:13" ht="58.2" customHeight="1" x14ac:dyDescent="0.25">
      <c r="A9" s="72">
        <f>MAX($A$1:A8)+1</f>
        <v>4</v>
      </c>
      <c r="B9" s="73" t="s">
        <v>1405</v>
      </c>
      <c r="C9" s="74" t="str">
        <f t="shared" si="0"/>
        <v>Diag_0x27_Phy_004</v>
      </c>
      <c r="D9" s="74" t="s">
        <v>1411</v>
      </c>
      <c r="E9" s="75" t="s">
        <v>20</v>
      </c>
      <c r="F9" s="76" t="s">
        <v>1499</v>
      </c>
      <c r="G9" s="76" t="s">
        <v>1095</v>
      </c>
      <c r="H9" s="59" t="s">
        <v>1410</v>
      </c>
      <c r="I9" s="77" t="s">
        <v>1500</v>
      </c>
      <c r="J9" s="78" t="s">
        <v>1722</v>
      </c>
      <c r="K9" s="82"/>
      <c r="L9" s="80" t="s">
        <v>671</v>
      </c>
      <c r="M9" s="83"/>
    </row>
    <row r="10" spans="1:13" ht="57.6" customHeight="1" x14ac:dyDescent="0.25">
      <c r="A10" s="72">
        <f>MAX($A$1:A9)+1</f>
        <v>5</v>
      </c>
      <c r="B10" s="73" t="s">
        <v>1405</v>
      </c>
      <c r="C10" s="74" t="str">
        <f t="shared" si="0"/>
        <v>Diag_0x27_Phy_005</v>
      </c>
      <c r="D10" s="74" t="s">
        <v>1411</v>
      </c>
      <c r="E10" s="75" t="s">
        <v>20</v>
      </c>
      <c r="F10" s="76" t="s">
        <v>1499</v>
      </c>
      <c r="G10" s="76" t="s">
        <v>1406</v>
      </c>
      <c r="H10" s="59" t="s">
        <v>1410</v>
      </c>
      <c r="I10" s="77" t="s">
        <v>1501</v>
      </c>
      <c r="J10" s="78" t="s">
        <v>1725</v>
      </c>
      <c r="K10" s="84"/>
      <c r="L10" s="80" t="s">
        <v>671</v>
      </c>
      <c r="M10" s="85"/>
    </row>
    <row r="11" spans="1:13" x14ac:dyDescent="0.25">
      <c r="A11" s="146" t="s">
        <v>1412</v>
      </c>
      <c r="B11" s="146"/>
      <c r="C11" s="146"/>
      <c r="D11" s="146"/>
      <c r="E11" s="146"/>
      <c r="F11" s="146"/>
      <c r="G11" s="146"/>
      <c r="H11" s="146"/>
      <c r="I11" s="146"/>
      <c r="J11" s="146"/>
      <c r="K11" s="146"/>
      <c r="L11" s="146"/>
      <c r="M11" s="146"/>
    </row>
    <row r="12" spans="1:13" ht="72.599999999999994" customHeight="1" x14ac:dyDescent="0.25">
      <c r="A12" s="72">
        <f>MAX($A$1:A11)+1</f>
        <v>6</v>
      </c>
      <c r="B12" s="77" t="s">
        <v>1413</v>
      </c>
      <c r="C12" s="74" t="str">
        <f xml:space="preserve"> "Diag_0x27_Phy_" &amp; TEXT(A12, "000")</f>
        <v>Diag_0x27_Phy_006</v>
      </c>
      <c r="D12" s="74" t="s">
        <v>1414</v>
      </c>
      <c r="E12" s="75" t="s">
        <v>20</v>
      </c>
      <c r="F12" s="76" t="s">
        <v>1499</v>
      </c>
      <c r="G12" s="76" t="s">
        <v>1095</v>
      </c>
      <c r="H12" s="59" t="s">
        <v>1415</v>
      </c>
      <c r="I12" s="73" t="s">
        <v>1496</v>
      </c>
      <c r="J12" s="86" t="s">
        <v>1726</v>
      </c>
      <c r="K12" s="79"/>
      <c r="L12" s="80" t="s">
        <v>671</v>
      </c>
      <c r="M12" s="81"/>
    </row>
    <row r="13" spans="1:13" x14ac:dyDescent="0.25">
      <c r="A13" s="146" t="s">
        <v>1416</v>
      </c>
      <c r="B13" s="146"/>
      <c r="C13" s="146"/>
      <c r="D13" s="146"/>
      <c r="E13" s="146"/>
      <c r="F13" s="146"/>
      <c r="G13" s="146"/>
      <c r="H13" s="146"/>
      <c r="I13" s="146"/>
      <c r="J13" s="146"/>
      <c r="K13" s="146"/>
      <c r="L13" s="146"/>
      <c r="M13" s="146"/>
    </row>
    <row r="14" spans="1:13" ht="84" customHeight="1" x14ac:dyDescent="0.25">
      <c r="A14" s="72">
        <f>MAX($A$1:A13)+1</f>
        <v>7</v>
      </c>
      <c r="B14" s="73" t="s">
        <v>981</v>
      </c>
      <c r="C14" s="74" t="str">
        <f xml:space="preserve"> "Diag_0x27_Phy_" &amp; TEXT(A14, "000")</f>
        <v>Diag_0x27_Phy_007</v>
      </c>
      <c r="D14" s="74" t="s">
        <v>1417</v>
      </c>
      <c r="E14" s="75" t="s">
        <v>20</v>
      </c>
      <c r="F14" s="76" t="s">
        <v>1499</v>
      </c>
      <c r="G14" s="76" t="s">
        <v>1418</v>
      </c>
      <c r="H14" s="59" t="s">
        <v>983</v>
      </c>
      <c r="I14" s="73" t="s">
        <v>1718</v>
      </c>
      <c r="J14" s="86" t="s">
        <v>1727</v>
      </c>
      <c r="K14" s="79"/>
      <c r="L14" s="80" t="s">
        <v>671</v>
      </c>
      <c r="M14" s="81"/>
    </row>
    <row r="15" spans="1:13" ht="114" customHeight="1" x14ac:dyDescent="0.25">
      <c r="A15" s="72">
        <f>MAX($A$1:A14)+1</f>
        <v>8</v>
      </c>
      <c r="B15" s="73" t="s">
        <v>981</v>
      </c>
      <c r="C15" s="74" t="str">
        <f t="shared" ref="C15:C18" si="1" xml:space="preserve"> "Diag_0x27_Phy_" &amp; TEXT(A15, "000")</f>
        <v>Diag_0x27_Phy_008</v>
      </c>
      <c r="D15" s="74" t="s">
        <v>1419</v>
      </c>
      <c r="E15" s="75" t="s">
        <v>20</v>
      </c>
      <c r="F15" s="76" t="s">
        <v>1499</v>
      </c>
      <c r="G15" s="76" t="s">
        <v>1095</v>
      </c>
      <c r="H15" s="59" t="s">
        <v>983</v>
      </c>
      <c r="I15" s="73" t="s">
        <v>1719</v>
      </c>
      <c r="J15" s="86" t="s">
        <v>1728</v>
      </c>
      <c r="K15" s="79"/>
      <c r="L15" s="80" t="s">
        <v>671</v>
      </c>
      <c r="M15" s="81"/>
    </row>
    <row r="16" spans="1:13" ht="168" customHeight="1" x14ac:dyDescent="0.25">
      <c r="A16" s="72">
        <f>MAX($A$1:A15)+1</f>
        <v>9</v>
      </c>
      <c r="B16" s="73" t="s">
        <v>981</v>
      </c>
      <c r="C16" s="74" t="str">
        <f t="shared" si="1"/>
        <v>Diag_0x27_Phy_009</v>
      </c>
      <c r="D16" s="74" t="s">
        <v>1420</v>
      </c>
      <c r="E16" s="75" t="s">
        <v>20</v>
      </c>
      <c r="F16" s="76" t="s">
        <v>1499</v>
      </c>
      <c r="G16" s="76" t="s">
        <v>1095</v>
      </c>
      <c r="H16" s="59" t="s">
        <v>983</v>
      </c>
      <c r="I16" s="73" t="s">
        <v>1421</v>
      </c>
      <c r="J16" s="86" t="s">
        <v>1729</v>
      </c>
      <c r="K16" s="79"/>
      <c r="L16" s="80" t="s">
        <v>671</v>
      </c>
      <c r="M16" s="81"/>
    </row>
    <row r="17" spans="1:13" ht="81" customHeight="1" x14ac:dyDescent="0.25">
      <c r="A17" s="72">
        <f>MAX($A$1:A16)+1</f>
        <v>10</v>
      </c>
      <c r="B17" s="73" t="s">
        <v>1413</v>
      </c>
      <c r="C17" s="74" t="str">
        <f t="shared" si="1"/>
        <v>Diag_0x27_Phy_010</v>
      </c>
      <c r="D17" s="87" t="s">
        <v>1422</v>
      </c>
      <c r="E17" s="75" t="s">
        <v>20</v>
      </c>
      <c r="F17" s="76" t="s">
        <v>1499</v>
      </c>
      <c r="G17" s="76" t="s">
        <v>1095</v>
      </c>
      <c r="H17" s="59" t="s">
        <v>1415</v>
      </c>
      <c r="I17" s="73" t="s">
        <v>1423</v>
      </c>
      <c r="J17" s="86" t="s">
        <v>1730</v>
      </c>
      <c r="K17" s="79"/>
      <c r="L17" s="80" t="s">
        <v>671</v>
      </c>
      <c r="M17" s="81"/>
    </row>
    <row r="18" spans="1:13" ht="129.6" customHeight="1" x14ac:dyDescent="0.25">
      <c r="A18" s="72">
        <f>MAX($A$1:A17)+1</f>
        <v>11</v>
      </c>
      <c r="B18" s="73" t="s">
        <v>981</v>
      </c>
      <c r="C18" s="74" t="str">
        <f t="shared" si="1"/>
        <v>Diag_0x27_Phy_011</v>
      </c>
      <c r="D18" s="87" t="s">
        <v>1424</v>
      </c>
      <c r="E18" s="75" t="s">
        <v>20</v>
      </c>
      <c r="F18" s="76" t="s">
        <v>1499</v>
      </c>
      <c r="G18" s="76" t="s">
        <v>1418</v>
      </c>
      <c r="H18" s="59" t="s">
        <v>1410</v>
      </c>
      <c r="I18" s="73" t="s">
        <v>1425</v>
      </c>
      <c r="J18" s="86" t="s">
        <v>1731</v>
      </c>
      <c r="K18" s="79"/>
      <c r="L18" s="80" t="s">
        <v>671</v>
      </c>
      <c r="M18" s="81"/>
    </row>
    <row r="19" spans="1:13" x14ac:dyDescent="0.25">
      <c r="A19" s="146" t="s">
        <v>1426</v>
      </c>
      <c r="B19" s="146"/>
      <c r="C19" s="146"/>
      <c r="D19" s="146"/>
      <c r="E19" s="146"/>
      <c r="F19" s="146"/>
      <c r="G19" s="146"/>
      <c r="H19" s="146"/>
      <c r="I19" s="146"/>
      <c r="J19" s="146"/>
      <c r="K19" s="146"/>
      <c r="L19" s="146"/>
      <c r="M19" s="146"/>
    </row>
    <row r="20" spans="1:13" ht="147" customHeight="1" x14ac:dyDescent="0.25">
      <c r="A20" s="72">
        <f>MAX($A$1:A19)+1</f>
        <v>12</v>
      </c>
      <c r="B20" s="73" t="s">
        <v>981</v>
      </c>
      <c r="C20" s="74" t="str">
        <f t="shared" ref="C20:C34" si="2" xml:space="preserve"> "Diag_0x27_Phy_" &amp; TEXT(A20, "000")</f>
        <v>Diag_0x27_Phy_012</v>
      </c>
      <c r="D20" s="74" t="s">
        <v>1427</v>
      </c>
      <c r="E20" s="75" t="s">
        <v>20</v>
      </c>
      <c r="F20" s="76" t="s">
        <v>1499</v>
      </c>
      <c r="G20" s="76" t="s">
        <v>1095</v>
      </c>
      <c r="H20" s="59" t="s">
        <v>1428</v>
      </c>
      <c r="I20" s="73" t="s">
        <v>1429</v>
      </c>
      <c r="J20" s="78" t="s">
        <v>1732</v>
      </c>
      <c r="K20" s="79"/>
      <c r="L20" s="80" t="s">
        <v>671</v>
      </c>
      <c r="M20" s="81"/>
    </row>
    <row r="21" spans="1:13" ht="201" customHeight="1" x14ac:dyDescent="0.25">
      <c r="A21" s="72">
        <f>MAX($A$1:A20)+1</f>
        <v>13</v>
      </c>
      <c r="B21" s="73" t="s">
        <v>1405</v>
      </c>
      <c r="C21" s="74" t="str">
        <f t="shared" si="2"/>
        <v>Diag_0x27_Phy_013</v>
      </c>
      <c r="D21" s="74" t="s">
        <v>1430</v>
      </c>
      <c r="E21" s="75" t="s">
        <v>20</v>
      </c>
      <c r="F21" s="76" t="s">
        <v>1499</v>
      </c>
      <c r="G21" s="76" t="s">
        <v>1095</v>
      </c>
      <c r="H21" s="59" t="s">
        <v>983</v>
      </c>
      <c r="I21" s="73" t="s">
        <v>1431</v>
      </c>
      <c r="J21" s="78" t="s">
        <v>1733</v>
      </c>
      <c r="K21" s="79"/>
      <c r="L21" s="80" t="s">
        <v>671</v>
      </c>
      <c r="M21" s="81"/>
    </row>
    <row r="22" spans="1:13" ht="235.8" customHeight="1" x14ac:dyDescent="0.25">
      <c r="A22" s="88">
        <f>MAX($A$1:A21)+1</f>
        <v>14</v>
      </c>
      <c r="B22" s="89" t="s">
        <v>981</v>
      </c>
      <c r="C22" s="74" t="str">
        <f t="shared" si="2"/>
        <v>Diag_0x27_Phy_014</v>
      </c>
      <c r="D22" s="90" t="s">
        <v>1432</v>
      </c>
      <c r="E22" s="91" t="s">
        <v>20</v>
      </c>
      <c r="F22" s="92" t="s">
        <v>1499</v>
      </c>
      <c r="G22" s="92" t="s">
        <v>1433</v>
      </c>
      <c r="H22" s="93" t="s">
        <v>1415</v>
      </c>
      <c r="I22" s="89" t="s">
        <v>1434</v>
      </c>
      <c r="J22" s="94" t="s">
        <v>1734</v>
      </c>
      <c r="K22" s="95"/>
      <c r="L22" s="46" t="s">
        <v>671</v>
      </c>
      <c r="M22" s="96"/>
    </row>
    <row r="23" spans="1:13" ht="409.6" x14ac:dyDescent="0.25">
      <c r="A23" s="72">
        <f>MAX($A$1:A22)+1</f>
        <v>15</v>
      </c>
      <c r="B23" s="73" t="s">
        <v>981</v>
      </c>
      <c r="C23" s="74" t="str">
        <f t="shared" si="2"/>
        <v>Diag_0x27_Phy_015</v>
      </c>
      <c r="D23" s="74" t="s">
        <v>1435</v>
      </c>
      <c r="E23" s="75" t="s">
        <v>20</v>
      </c>
      <c r="F23" s="76" t="s">
        <v>1499</v>
      </c>
      <c r="G23" s="76" t="s">
        <v>1095</v>
      </c>
      <c r="H23" s="59" t="s">
        <v>983</v>
      </c>
      <c r="I23" s="73" t="s">
        <v>1842</v>
      </c>
      <c r="J23" s="78" t="s">
        <v>1735</v>
      </c>
      <c r="K23" s="79"/>
      <c r="L23" s="80" t="s">
        <v>671</v>
      </c>
      <c r="M23" s="81"/>
    </row>
    <row r="24" spans="1:13" ht="409.6" x14ac:dyDescent="0.25">
      <c r="A24" s="72">
        <f>MAX($A$1:A23)+1</f>
        <v>16</v>
      </c>
      <c r="B24" s="73" t="s">
        <v>981</v>
      </c>
      <c r="C24" s="74" t="str">
        <f t="shared" si="2"/>
        <v>Diag_0x27_Phy_016</v>
      </c>
      <c r="D24" s="74" t="s">
        <v>1437</v>
      </c>
      <c r="E24" s="75" t="s">
        <v>20</v>
      </c>
      <c r="F24" s="76" t="s">
        <v>1499</v>
      </c>
      <c r="G24" s="76" t="s">
        <v>1406</v>
      </c>
      <c r="H24" s="59" t="s">
        <v>983</v>
      </c>
      <c r="I24" s="73" t="s">
        <v>1438</v>
      </c>
      <c r="J24" s="78" t="s">
        <v>1736</v>
      </c>
      <c r="K24" s="79"/>
      <c r="L24" s="80" t="s">
        <v>671</v>
      </c>
      <c r="M24" s="81"/>
    </row>
    <row r="25" spans="1:13" ht="274.8" customHeight="1" x14ac:dyDescent="0.25">
      <c r="A25" s="72">
        <f>MAX($A$1:A24)+1</f>
        <v>17</v>
      </c>
      <c r="B25" s="73" t="s">
        <v>1413</v>
      </c>
      <c r="C25" s="74" t="str">
        <f t="shared" si="2"/>
        <v>Diag_0x27_Phy_017</v>
      </c>
      <c r="D25" s="74" t="s">
        <v>1439</v>
      </c>
      <c r="E25" s="75" t="s">
        <v>20</v>
      </c>
      <c r="F25" s="76" t="s">
        <v>1499</v>
      </c>
      <c r="G25" s="76" t="s">
        <v>1095</v>
      </c>
      <c r="H25" s="59" t="s">
        <v>1410</v>
      </c>
      <c r="I25" s="73" t="s">
        <v>1440</v>
      </c>
      <c r="J25" s="78" t="s">
        <v>1737</v>
      </c>
      <c r="K25" s="79"/>
      <c r="L25" s="80" t="s">
        <v>671</v>
      </c>
      <c r="M25" s="81"/>
    </row>
    <row r="26" spans="1:13" ht="330" x14ac:dyDescent="0.25">
      <c r="A26" s="72">
        <f>MAX($A$1:A25)+1</f>
        <v>18</v>
      </c>
      <c r="B26" s="73" t="s">
        <v>1441</v>
      </c>
      <c r="C26" s="74" t="str">
        <f t="shared" si="2"/>
        <v>Diag_0x27_Phy_018</v>
      </c>
      <c r="D26" s="74" t="s">
        <v>1442</v>
      </c>
      <c r="E26" s="75" t="s">
        <v>20</v>
      </c>
      <c r="F26" s="76" t="s">
        <v>1499</v>
      </c>
      <c r="G26" s="76" t="s">
        <v>1095</v>
      </c>
      <c r="H26" s="59" t="s">
        <v>983</v>
      </c>
      <c r="I26" s="73" t="s">
        <v>1443</v>
      </c>
      <c r="J26" s="78" t="s">
        <v>1738</v>
      </c>
      <c r="K26" s="79"/>
      <c r="L26" s="80" t="s">
        <v>671</v>
      </c>
      <c r="M26" s="81"/>
    </row>
    <row r="27" spans="1:13" ht="264" x14ac:dyDescent="0.25">
      <c r="A27" s="72">
        <f>MAX($A$1:A26)+1</f>
        <v>19</v>
      </c>
      <c r="B27" s="73" t="s">
        <v>1444</v>
      </c>
      <c r="C27" s="74" t="str">
        <f t="shared" si="2"/>
        <v>Diag_0x27_Phy_019</v>
      </c>
      <c r="D27" s="74" t="s">
        <v>1445</v>
      </c>
      <c r="E27" s="75" t="s">
        <v>20</v>
      </c>
      <c r="F27" s="76" t="s">
        <v>1499</v>
      </c>
      <c r="G27" s="76" t="s">
        <v>1095</v>
      </c>
      <c r="H27" s="59" t="s">
        <v>1446</v>
      </c>
      <c r="I27" s="73" t="s">
        <v>1447</v>
      </c>
      <c r="J27" s="78" t="s">
        <v>1739</v>
      </c>
      <c r="K27" s="79"/>
      <c r="L27" s="80" t="s">
        <v>671</v>
      </c>
      <c r="M27" s="81"/>
    </row>
    <row r="28" spans="1:13" ht="244.8" customHeight="1" x14ac:dyDescent="0.25">
      <c r="A28" s="88">
        <f>MAX($A$1:A27)+1</f>
        <v>20</v>
      </c>
      <c r="B28" s="89" t="s">
        <v>981</v>
      </c>
      <c r="C28" s="74" t="str">
        <f t="shared" si="2"/>
        <v>Diag_0x27_Phy_020</v>
      </c>
      <c r="D28" s="90" t="s">
        <v>1448</v>
      </c>
      <c r="E28" s="91" t="s">
        <v>20</v>
      </c>
      <c r="F28" s="92" t="s">
        <v>1499</v>
      </c>
      <c r="G28" s="92" t="s">
        <v>1117</v>
      </c>
      <c r="H28" s="93" t="s">
        <v>983</v>
      </c>
      <c r="I28" s="89" t="s">
        <v>1449</v>
      </c>
      <c r="J28" s="94" t="s">
        <v>1740</v>
      </c>
      <c r="K28" s="95"/>
      <c r="L28" s="80" t="s">
        <v>671</v>
      </c>
      <c r="M28" s="96"/>
    </row>
    <row r="29" spans="1:13" ht="238.2" customHeight="1" x14ac:dyDescent="0.25">
      <c r="A29" s="72">
        <f>MAX($A$1:A28)+1</f>
        <v>21</v>
      </c>
      <c r="B29" s="73" t="s">
        <v>981</v>
      </c>
      <c r="C29" s="74" t="str">
        <f t="shared" si="2"/>
        <v>Diag_0x27_Phy_021</v>
      </c>
      <c r="D29" s="74" t="s">
        <v>1450</v>
      </c>
      <c r="E29" s="75" t="s">
        <v>20</v>
      </c>
      <c r="F29" s="76" t="s">
        <v>1499</v>
      </c>
      <c r="G29" s="76" t="s">
        <v>1095</v>
      </c>
      <c r="H29" s="59" t="s">
        <v>983</v>
      </c>
      <c r="I29" s="89" t="s">
        <v>1451</v>
      </c>
      <c r="J29" s="94" t="s">
        <v>1741</v>
      </c>
      <c r="K29" s="79"/>
      <c r="L29" s="80" t="s">
        <v>671</v>
      </c>
      <c r="M29" s="81"/>
    </row>
    <row r="30" spans="1:13" ht="232.2" customHeight="1" x14ac:dyDescent="0.25">
      <c r="A30" s="97">
        <f>MAX($A$1:A29)+1</f>
        <v>22</v>
      </c>
      <c r="B30" s="98" t="s">
        <v>981</v>
      </c>
      <c r="C30" s="74" t="str">
        <f t="shared" si="2"/>
        <v>Diag_0x27_Phy_022</v>
      </c>
      <c r="D30" s="99" t="s">
        <v>1452</v>
      </c>
      <c r="E30" s="75" t="s">
        <v>20</v>
      </c>
      <c r="F30" s="76" t="s">
        <v>1499</v>
      </c>
      <c r="G30" s="76" t="s">
        <v>1406</v>
      </c>
      <c r="H30" s="59" t="s">
        <v>1453</v>
      </c>
      <c r="I30" s="89" t="s">
        <v>1454</v>
      </c>
      <c r="J30" s="94" t="s">
        <v>1742</v>
      </c>
      <c r="K30" s="100"/>
      <c r="L30" s="46" t="s">
        <v>671</v>
      </c>
      <c r="M30" s="101"/>
    </row>
    <row r="31" spans="1:13" ht="294" customHeight="1" x14ac:dyDescent="0.25">
      <c r="A31" s="97">
        <f>MAX($A$1:A30)+1</f>
        <v>23</v>
      </c>
      <c r="B31" s="98" t="s">
        <v>981</v>
      </c>
      <c r="C31" s="74" t="str">
        <f t="shared" si="2"/>
        <v>Diag_0x27_Phy_023</v>
      </c>
      <c r="D31" s="99" t="s">
        <v>1455</v>
      </c>
      <c r="E31" s="75" t="s">
        <v>20</v>
      </c>
      <c r="F31" s="76" t="s">
        <v>1499</v>
      </c>
      <c r="G31" s="76" t="s">
        <v>1095</v>
      </c>
      <c r="H31" s="59" t="s">
        <v>1456</v>
      </c>
      <c r="I31" s="102" t="s">
        <v>1457</v>
      </c>
      <c r="J31" s="103" t="s">
        <v>1502</v>
      </c>
      <c r="K31" s="100"/>
      <c r="L31" s="46" t="s">
        <v>671</v>
      </c>
      <c r="M31" s="101"/>
    </row>
    <row r="32" spans="1:13" ht="190.8" customHeight="1" x14ac:dyDescent="0.25">
      <c r="A32" s="97">
        <f>MAX($A$1:A31)+1</f>
        <v>24</v>
      </c>
      <c r="B32" s="98" t="s">
        <v>1458</v>
      </c>
      <c r="C32" s="74" t="str">
        <f t="shared" si="2"/>
        <v>Diag_0x27_Phy_024</v>
      </c>
      <c r="D32" s="53" t="s">
        <v>1459</v>
      </c>
      <c r="E32" s="75" t="s">
        <v>20</v>
      </c>
      <c r="F32" s="76" t="s">
        <v>1499</v>
      </c>
      <c r="G32" s="76" t="s">
        <v>1095</v>
      </c>
      <c r="H32" s="59" t="s">
        <v>1460</v>
      </c>
      <c r="I32" s="102" t="s">
        <v>1498</v>
      </c>
      <c r="J32" s="103" t="s">
        <v>1503</v>
      </c>
      <c r="K32" s="100"/>
      <c r="L32" s="46" t="s">
        <v>671</v>
      </c>
      <c r="M32" s="101"/>
    </row>
    <row r="33" spans="1:13" ht="122.4" customHeight="1" x14ac:dyDescent="0.25">
      <c r="A33" s="97">
        <f>MAX($A$1:A32)+1</f>
        <v>25</v>
      </c>
      <c r="B33" s="98" t="s">
        <v>981</v>
      </c>
      <c r="C33" s="74" t="str">
        <f t="shared" si="2"/>
        <v>Diag_0x27_Phy_025</v>
      </c>
      <c r="D33" s="53" t="s">
        <v>1461</v>
      </c>
      <c r="E33" s="75" t="s">
        <v>20</v>
      </c>
      <c r="F33" s="76" t="s">
        <v>1499</v>
      </c>
      <c r="G33" s="76" t="s">
        <v>1095</v>
      </c>
      <c r="H33" s="59" t="s">
        <v>1462</v>
      </c>
      <c r="I33" s="102" t="s">
        <v>1463</v>
      </c>
      <c r="J33" s="103" t="s">
        <v>1504</v>
      </c>
      <c r="K33" s="100"/>
      <c r="L33" s="46" t="s">
        <v>671</v>
      </c>
      <c r="M33" s="101"/>
    </row>
    <row r="34" spans="1:13" ht="121.8" customHeight="1" x14ac:dyDescent="0.25">
      <c r="A34" s="97">
        <f>MAX($A$1:A33)+1</f>
        <v>26</v>
      </c>
      <c r="B34" s="98" t="s">
        <v>981</v>
      </c>
      <c r="C34" s="74" t="str">
        <f t="shared" si="2"/>
        <v>Diag_0x27_Phy_026</v>
      </c>
      <c r="D34" s="53" t="s">
        <v>1464</v>
      </c>
      <c r="E34" s="75" t="s">
        <v>20</v>
      </c>
      <c r="F34" s="76" t="s">
        <v>1499</v>
      </c>
      <c r="G34" s="76" t="s">
        <v>1465</v>
      </c>
      <c r="H34" s="59" t="s">
        <v>1466</v>
      </c>
      <c r="I34" s="102" t="s">
        <v>1467</v>
      </c>
      <c r="J34" s="103" t="s">
        <v>1505</v>
      </c>
      <c r="K34" s="100"/>
      <c r="L34" s="46" t="s">
        <v>671</v>
      </c>
      <c r="M34" s="101"/>
    </row>
    <row r="35" spans="1:13" x14ac:dyDescent="0.25">
      <c r="A35" s="146" t="s">
        <v>1468</v>
      </c>
      <c r="B35" s="146"/>
      <c r="C35" s="146"/>
      <c r="D35" s="146"/>
      <c r="E35" s="146"/>
      <c r="F35" s="146"/>
      <c r="G35" s="146"/>
      <c r="H35" s="146"/>
      <c r="I35" s="146"/>
      <c r="J35" s="146"/>
      <c r="K35" s="146"/>
      <c r="L35" s="146"/>
      <c r="M35" s="146"/>
    </row>
    <row r="36" spans="1:13" ht="118.8" x14ac:dyDescent="0.25">
      <c r="A36" s="56">
        <f>MAX($A$1:A34)+1</f>
        <v>27</v>
      </c>
      <c r="B36" s="57" t="s">
        <v>981</v>
      </c>
      <c r="C36" s="53" t="str">
        <f xml:space="preserve"> "Diag_0x27_Phy_" &amp; TEXT(A36, "000")</f>
        <v>Diag_0x27_Phy_027</v>
      </c>
      <c r="D36" s="53" t="s">
        <v>1698</v>
      </c>
      <c r="E36" s="58" t="s">
        <v>20</v>
      </c>
      <c r="F36" s="9" t="s">
        <v>1499</v>
      </c>
      <c r="G36" s="9" t="s">
        <v>1117</v>
      </c>
      <c r="H36" s="59" t="s">
        <v>1410</v>
      </c>
      <c r="I36" s="57" t="s">
        <v>1720</v>
      </c>
      <c r="J36" s="71" t="s">
        <v>1743</v>
      </c>
      <c r="K36" s="104"/>
      <c r="L36" s="46" t="s">
        <v>671</v>
      </c>
      <c r="M36" s="105"/>
    </row>
    <row r="37" spans="1:13" x14ac:dyDescent="0.25">
      <c r="A37" s="146" t="s">
        <v>1469</v>
      </c>
      <c r="B37" s="146"/>
      <c r="C37" s="146"/>
      <c r="D37" s="146"/>
      <c r="E37" s="146"/>
      <c r="F37" s="146"/>
      <c r="G37" s="146"/>
      <c r="H37" s="146"/>
      <c r="I37" s="146"/>
      <c r="J37" s="146"/>
      <c r="K37" s="146"/>
      <c r="L37" s="146"/>
      <c r="M37" s="146"/>
    </row>
    <row r="38" spans="1:13" ht="136.80000000000001" customHeight="1" x14ac:dyDescent="0.25">
      <c r="A38" s="56">
        <f>MAX($A$1:A37)+1</f>
        <v>28</v>
      </c>
      <c r="B38" s="57" t="s">
        <v>1470</v>
      </c>
      <c r="C38" s="53" t="str">
        <f xml:space="preserve"> "Diag_0x27_Phy_" &amp; TEXT(A38, "000")</f>
        <v>Diag_0x27_Phy_028</v>
      </c>
      <c r="D38" s="9" t="s">
        <v>1471</v>
      </c>
      <c r="E38" s="58" t="s">
        <v>20</v>
      </c>
      <c r="F38" s="9" t="s">
        <v>1499</v>
      </c>
      <c r="G38" s="9" t="s">
        <v>1095</v>
      </c>
      <c r="H38" s="59" t="s">
        <v>1410</v>
      </c>
      <c r="I38" s="57" t="s">
        <v>1696</v>
      </c>
      <c r="J38" s="71" t="s">
        <v>1695</v>
      </c>
      <c r="K38" s="104"/>
      <c r="L38" s="46" t="s">
        <v>671</v>
      </c>
      <c r="M38" s="105"/>
    </row>
    <row r="39" spans="1:13" ht="129" customHeight="1" x14ac:dyDescent="0.25">
      <c r="A39" s="56">
        <f>MAX($A$1:A38)+1</f>
        <v>29</v>
      </c>
      <c r="B39" s="57" t="s">
        <v>1115</v>
      </c>
      <c r="C39" s="53" t="str">
        <f t="shared" ref="C39:C41" si="3" xml:space="preserve"> "Diag_0x27_Phy_" &amp; TEXT(A39, "000")</f>
        <v>Diag_0x27_Phy_029</v>
      </c>
      <c r="D39" s="9" t="s">
        <v>1472</v>
      </c>
      <c r="E39" s="58" t="s">
        <v>20</v>
      </c>
      <c r="F39" s="9" t="s">
        <v>1499</v>
      </c>
      <c r="G39" s="9" t="s">
        <v>1095</v>
      </c>
      <c r="H39" s="59" t="s">
        <v>983</v>
      </c>
      <c r="I39" s="57" t="s">
        <v>1721</v>
      </c>
      <c r="J39" s="71" t="s">
        <v>1697</v>
      </c>
      <c r="K39" s="106"/>
      <c r="L39" s="46" t="s">
        <v>671</v>
      </c>
      <c r="M39" s="107"/>
    </row>
    <row r="40" spans="1:13" ht="103.8" customHeight="1" x14ac:dyDescent="0.25">
      <c r="A40" s="56">
        <f>MAX($A$1:A39)+1</f>
        <v>30</v>
      </c>
      <c r="B40" s="57" t="s">
        <v>981</v>
      </c>
      <c r="C40" s="53" t="str">
        <f t="shared" si="3"/>
        <v>Diag_0x27_Phy_030</v>
      </c>
      <c r="D40" s="53" t="s">
        <v>315</v>
      </c>
      <c r="E40" s="58" t="s">
        <v>20</v>
      </c>
      <c r="F40" s="9" t="s">
        <v>1499</v>
      </c>
      <c r="G40" s="9" t="s">
        <v>1095</v>
      </c>
      <c r="H40" s="59" t="s">
        <v>1410</v>
      </c>
      <c r="I40" s="57" t="s">
        <v>1701</v>
      </c>
      <c r="J40" s="71" t="s">
        <v>1702</v>
      </c>
      <c r="K40" s="108"/>
      <c r="L40" s="46" t="s">
        <v>671</v>
      </c>
      <c r="M40" s="109"/>
    </row>
    <row r="41" spans="1:13" ht="102" customHeight="1" x14ac:dyDescent="0.25">
      <c r="A41" s="97">
        <f>MAX($A$1:A40)+1</f>
        <v>31</v>
      </c>
      <c r="B41" s="110" t="s">
        <v>1115</v>
      </c>
      <c r="C41" s="53" t="str">
        <f t="shared" si="3"/>
        <v>Diag_0x27_Phy_031</v>
      </c>
      <c r="D41" s="111" t="s">
        <v>317</v>
      </c>
      <c r="E41" s="112" t="s">
        <v>20</v>
      </c>
      <c r="F41" s="113" t="s">
        <v>1499</v>
      </c>
      <c r="G41" s="113" t="s">
        <v>1473</v>
      </c>
      <c r="H41" s="114" t="s">
        <v>1474</v>
      </c>
      <c r="I41" s="110" t="s">
        <v>1475</v>
      </c>
      <c r="J41" s="115" t="s">
        <v>1506</v>
      </c>
      <c r="K41" s="108"/>
      <c r="L41" s="46" t="s">
        <v>671</v>
      </c>
      <c r="M41" s="109"/>
    </row>
    <row r="42" spans="1:13" x14ac:dyDescent="0.25">
      <c r="A42" s="146" t="s">
        <v>1476</v>
      </c>
      <c r="B42" s="146"/>
      <c r="C42" s="146"/>
      <c r="D42" s="146"/>
      <c r="E42" s="146"/>
      <c r="F42" s="146"/>
      <c r="G42" s="146"/>
      <c r="H42" s="146"/>
      <c r="I42" s="146"/>
      <c r="J42" s="146"/>
      <c r="K42" s="146"/>
      <c r="L42" s="146"/>
      <c r="M42" s="146"/>
    </row>
    <row r="43" spans="1:13" ht="50.4" customHeight="1" x14ac:dyDescent="0.25">
      <c r="A43" s="56">
        <f>MAX($A$1:A42)+1</f>
        <v>32</v>
      </c>
      <c r="B43" s="57" t="s">
        <v>1444</v>
      </c>
      <c r="C43" s="99" t="str">
        <f xml:space="preserve"> "Diag_0x27_Phy_" &amp; TEXT(A43, "000")</f>
        <v>Diag_0x27_Phy_032</v>
      </c>
      <c r="D43" s="10" t="s">
        <v>1477</v>
      </c>
      <c r="E43" s="58" t="s">
        <v>55</v>
      </c>
      <c r="F43" s="9" t="s">
        <v>1499</v>
      </c>
      <c r="G43" s="9" t="s">
        <v>1478</v>
      </c>
      <c r="H43" s="59" t="s">
        <v>1120</v>
      </c>
      <c r="I43" s="57" t="s">
        <v>1479</v>
      </c>
      <c r="J43" s="71" t="s">
        <v>1507</v>
      </c>
      <c r="K43" s="104"/>
      <c r="L43" s="46" t="s">
        <v>671</v>
      </c>
      <c r="M43" s="105"/>
    </row>
    <row r="44" spans="1:13" ht="67.8" customHeight="1" x14ac:dyDescent="0.25">
      <c r="A44" s="56">
        <f>MAX($A$1:A43)+1</f>
        <v>33</v>
      </c>
      <c r="B44" s="57" t="s">
        <v>1405</v>
      </c>
      <c r="C44" s="99" t="str">
        <f xml:space="preserve"> "Diag_0x27_Phy_" &amp; TEXT(A44, "000")</f>
        <v>Diag_0x27_Phy_033</v>
      </c>
      <c r="D44" s="10" t="s">
        <v>1480</v>
      </c>
      <c r="E44" s="58" t="s">
        <v>55</v>
      </c>
      <c r="F44" s="9" t="s">
        <v>1499</v>
      </c>
      <c r="G44" s="9" t="s">
        <v>1481</v>
      </c>
      <c r="H44" s="59" t="s">
        <v>1120</v>
      </c>
      <c r="I44" s="116" t="s">
        <v>1482</v>
      </c>
      <c r="J44" s="71" t="s">
        <v>1507</v>
      </c>
      <c r="K44" s="108"/>
      <c r="L44" s="46" t="s">
        <v>671</v>
      </c>
      <c r="M44" s="109"/>
    </row>
    <row r="45" spans="1:13" x14ac:dyDescent="0.25">
      <c r="A45" s="146" t="s">
        <v>1483</v>
      </c>
      <c r="B45" s="146"/>
      <c r="C45" s="146"/>
      <c r="D45" s="146"/>
      <c r="E45" s="146"/>
      <c r="F45" s="146"/>
      <c r="G45" s="146"/>
      <c r="H45" s="146"/>
      <c r="I45" s="146"/>
      <c r="J45" s="146"/>
      <c r="K45" s="146"/>
      <c r="L45" s="146"/>
      <c r="M45" s="146"/>
    </row>
    <row r="46" spans="1:13" s="7" customFormat="1" ht="38.4" customHeight="1" x14ac:dyDescent="0.25">
      <c r="A46" s="56">
        <f>MAX($A$1:A45)+1</f>
        <v>34</v>
      </c>
      <c r="B46" s="57" t="s">
        <v>981</v>
      </c>
      <c r="C46" s="99" t="str">
        <f xml:space="preserve"> "Diag_0x27_Phy_" &amp; TEXT(A46, "000")</f>
        <v>Diag_0x27_Phy_034</v>
      </c>
      <c r="D46" s="10" t="s">
        <v>1703</v>
      </c>
      <c r="E46" s="58" t="s">
        <v>55</v>
      </c>
      <c r="F46" s="9" t="s">
        <v>1499</v>
      </c>
      <c r="G46" s="9" t="s">
        <v>1481</v>
      </c>
      <c r="H46" s="59" t="s">
        <v>1410</v>
      </c>
      <c r="I46" s="57" t="s">
        <v>1709</v>
      </c>
      <c r="J46" s="71" t="s">
        <v>1507</v>
      </c>
      <c r="K46" s="104"/>
      <c r="L46" s="46" t="s">
        <v>671</v>
      </c>
      <c r="M46" s="121"/>
    </row>
    <row r="47" spans="1:13" s="7" customFormat="1" ht="45.6" customHeight="1" x14ac:dyDescent="0.25">
      <c r="A47" s="56">
        <f>MAX($A$1:A46)+1</f>
        <v>35</v>
      </c>
      <c r="B47" s="57" t="s">
        <v>981</v>
      </c>
      <c r="C47" s="99" t="str">
        <f xml:space="preserve"> "Diag_0x27_Phy_" &amp; TEXT(A47, "000")</f>
        <v>Diag_0x27_Phy_035</v>
      </c>
      <c r="D47" s="10" t="s">
        <v>1704</v>
      </c>
      <c r="E47" s="58" t="s">
        <v>55</v>
      </c>
      <c r="F47" s="9" t="s">
        <v>1499</v>
      </c>
      <c r="G47" s="9" t="s">
        <v>1481</v>
      </c>
      <c r="H47" s="59" t="s">
        <v>1410</v>
      </c>
      <c r="I47" s="57" t="s">
        <v>1705</v>
      </c>
      <c r="J47" s="71" t="s">
        <v>1706</v>
      </c>
      <c r="K47" s="104"/>
      <c r="L47" s="46" t="s">
        <v>671</v>
      </c>
      <c r="M47" s="121"/>
    </row>
    <row r="48" spans="1:13" ht="66.599999999999994" customHeight="1" x14ac:dyDescent="0.25">
      <c r="A48" s="56">
        <f>MAX($A$1:A47)+1</f>
        <v>36</v>
      </c>
      <c r="B48" s="57" t="s">
        <v>981</v>
      </c>
      <c r="C48" s="99" t="str">
        <f xml:space="preserve"> "Diag_0x27_Phy_" &amp; TEXT(A48, "000")</f>
        <v>Diag_0x27_Phy_036</v>
      </c>
      <c r="D48" s="10" t="s">
        <v>1708</v>
      </c>
      <c r="E48" s="58" t="s">
        <v>55</v>
      </c>
      <c r="F48" s="9" t="s">
        <v>1499</v>
      </c>
      <c r="G48" s="9" t="s">
        <v>1481</v>
      </c>
      <c r="H48" s="59" t="s">
        <v>1410</v>
      </c>
      <c r="I48" s="57" t="s">
        <v>1710</v>
      </c>
      <c r="J48" s="71" t="s">
        <v>1711</v>
      </c>
      <c r="K48" s="104"/>
      <c r="L48" s="46" t="s">
        <v>671</v>
      </c>
      <c r="M48" s="105"/>
    </row>
    <row r="49" spans="1:13" x14ac:dyDescent="0.25">
      <c r="A49" s="146" t="s">
        <v>1484</v>
      </c>
      <c r="B49" s="146"/>
      <c r="C49" s="146"/>
      <c r="D49" s="146"/>
      <c r="E49" s="146"/>
      <c r="F49" s="146"/>
      <c r="G49" s="146"/>
      <c r="H49" s="146"/>
      <c r="I49" s="146"/>
      <c r="J49" s="146"/>
      <c r="K49" s="146"/>
      <c r="L49" s="146"/>
      <c r="M49" s="146"/>
    </row>
    <row r="50" spans="1:13" x14ac:dyDescent="0.25">
      <c r="A50" s="146" t="s">
        <v>88</v>
      </c>
      <c r="B50" s="146"/>
      <c r="C50" s="146"/>
      <c r="D50" s="146"/>
      <c r="E50" s="146"/>
      <c r="F50" s="146"/>
      <c r="G50" s="146"/>
      <c r="H50" s="146"/>
      <c r="I50" s="146"/>
      <c r="J50" s="146"/>
      <c r="K50" s="146"/>
      <c r="L50" s="146"/>
      <c r="M50" s="146"/>
    </row>
    <row r="51" spans="1:13" ht="70.8" customHeight="1" x14ac:dyDescent="0.25">
      <c r="A51" s="56">
        <f>MAX($A$1:A50)+1</f>
        <v>37</v>
      </c>
      <c r="B51" s="57" t="s">
        <v>1115</v>
      </c>
      <c r="C51" s="99" t="str">
        <f xml:space="preserve"> "Diag_0x27_Fun_" &amp; TEXT(A51, "000")</f>
        <v>Diag_0x27_Fun_037</v>
      </c>
      <c r="D51" s="53" t="s">
        <v>1485</v>
      </c>
      <c r="E51" s="58" t="s">
        <v>61</v>
      </c>
      <c r="F51" s="9" t="s">
        <v>1499</v>
      </c>
      <c r="G51" s="9" t="s">
        <v>1095</v>
      </c>
      <c r="H51" s="59" t="s">
        <v>1486</v>
      </c>
      <c r="I51" s="57" t="s">
        <v>1487</v>
      </c>
      <c r="J51" s="71" t="s">
        <v>1489</v>
      </c>
      <c r="K51" s="104"/>
      <c r="L51" s="46" t="s">
        <v>671</v>
      </c>
      <c r="M51" s="105"/>
    </row>
    <row r="52" spans="1:13" s="7" customFormat="1" ht="60" customHeight="1" x14ac:dyDescent="0.25">
      <c r="A52" s="56">
        <f>MAX($A$1:A51)+1</f>
        <v>38</v>
      </c>
      <c r="B52" s="57" t="s">
        <v>1115</v>
      </c>
      <c r="C52" s="99" t="str">
        <f xml:space="preserve"> "Diag_0x27_Fun_" &amp; TEXT(A52, "000")</f>
        <v>Diag_0x27_Fun_038</v>
      </c>
      <c r="D52" s="53" t="s">
        <v>1715</v>
      </c>
      <c r="E52" s="58" t="s">
        <v>61</v>
      </c>
      <c r="F52" s="9" t="s">
        <v>1499</v>
      </c>
      <c r="G52" s="9" t="s">
        <v>1095</v>
      </c>
      <c r="H52" s="59" t="s">
        <v>1486</v>
      </c>
      <c r="I52" s="57" t="s">
        <v>1714</v>
      </c>
      <c r="J52" s="122" t="s">
        <v>1712</v>
      </c>
      <c r="K52" s="104"/>
      <c r="L52" s="46"/>
      <c r="M52" s="105"/>
    </row>
    <row r="53" spans="1:13" ht="67.2" customHeight="1" x14ac:dyDescent="0.25">
      <c r="A53" s="56">
        <f>MAX($A$1:A51)+1</f>
        <v>38</v>
      </c>
      <c r="B53" s="57" t="s">
        <v>1405</v>
      </c>
      <c r="C53" s="99" t="str">
        <f xml:space="preserve"> "Diag_0x27_Fun_" &amp; TEXT(A53, "000")</f>
        <v>Diag_0x27_Fun_038</v>
      </c>
      <c r="D53" s="53" t="s">
        <v>1488</v>
      </c>
      <c r="E53" s="58" t="s">
        <v>61</v>
      </c>
      <c r="F53" s="9" t="s">
        <v>1499</v>
      </c>
      <c r="G53" s="9" t="s">
        <v>1095</v>
      </c>
      <c r="H53" s="59" t="s">
        <v>983</v>
      </c>
      <c r="I53" s="117" t="s">
        <v>1713</v>
      </c>
      <c r="J53" s="118" t="s">
        <v>1489</v>
      </c>
      <c r="K53" s="106"/>
      <c r="L53" s="46" t="s">
        <v>671</v>
      </c>
      <c r="M53" s="107"/>
    </row>
    <row r="54" spans="1:13" x14ac:dyDescent="0.25">
      <c r="A54" s="150" t="s">
        <v>1490</v>
      </c>
      <c r="B54" s="151"/>
      <c r="C54" s="151"/>
      <c r="D54" s="151"/>
      <c r="E54" s="151"/>
      <c r="F54" s="151"/>
      <c r="G54" s="151"/>
      <c r="H54" s="151"/>
      <c r="I54" s="151"/>
      <c r="J54" s="151"/>
      <c r="K54" s="151"/>
      <c r="L54" s="151"/>
      <c r="M54" s="152"/>
    </row>
    <row r="55" spans="1:13" x14ac:dyDescent="0.25">
      <c r="A55" s="147" t="s">
        <v>1491</v>
      </c>
      <c r="B55" s="148"/>
      <c r="C55" s="148"/>
      <c r="D55" s="148"/>
      <c r="E55" s="148"/>
      <c r="F55" s="148"/>
      <c r="G55" s="148"/>
      <c r="H55" s="148"/>
      <c r="I55" s="148"/>
      <c r="J55" s="148"/>
      <c r="K55" s="148"/>
      <c r="L55" s="148"/>
      <c r="M55" s="149"/>
    </row>
    <row r="56" spans="1:13" s="7" customFormat="1" ht="75.599999999999994" customHeight="1" x14ac:dyDescent="0.25">
      <c r="A56" s="72">
        <f>MAX($A$1:A55)+1</f>
        <v>39</v>
      </c>
      <c r="B56" s="73" t="s">
        <v>1405</v>
      </c>
      <c r="C56" s="74" t="str">
        <f xml:space="preserve"> "Diag_0x27_Phy_" &amp; TEXT(A56, "000")</f>
        <v>Diag_0x27_Phy_039</v>
      </c>
      <c r="D56" s="74" t="s">
        <v>240</v>
      </c>
      <c r="E56" s="75" t="s">
        <v>20</v>
      </c>
      <c r="F56" s="76" t="s">
        <v>1499</v>
      </c>
      <c r="G56" s="76" t="s">
        <v>1406</v>
      </c>
      <c r="H56" s="59" t="s">
        <v>1716</v>
      </c>
      <c r="I56" s="77" t="s">
        <v>1717</v>
      </c>
      <c r="J56" s="78" t="s">
        <v>1722</v>
      </c>
      <c r="K56" s="79"/>
      <c r="L56" s="80" t="s">
        <v>671</v>
      </c>
      <c r="M56" s="81"/>
    </row>
    <row r="57" spans="1:13" s="7" customFormat="1" ht="72.599999999999994" customHeight="1" x14ac:dyDescent="0.25">
      <c r="A57" s="72">
        <f>MAX($A$1:A56)+1</f>
        <v>40</v>
      </c>
      <c r="B57" s="73" t="s">
        <v>1405</v>
      </c>
      <c r="C57" s="74" t="str">
        <f t="shared" ref="C57:C60" si="4" xml:space="preserve"> "Diag_0x27_Phy_" &amp; TEXT(A57, "000")</f>
        <v>Diag_0x27_Phy_040</v>
      </c>
      <c r="D57" s="74" t="s">
        <v>1408</v>
      </c>
      <c r="E57" s="75" t="s">
        <v>20</v>
      </c>
      <c r="F57" s="76" t="s">
        <v>1499</v>
      </c>
      <c r="G57" s="76" t="s">
        <v>1095</v>
      </c>
      <c r="H57" s="59" t="s">
        <v>1409</v>
      </c>
      <c r="I57" s="77" t="s">
        <v>1494</v>
      </c>
      <c r="J57" s="78" t="s">
        <v>1723</v>
      </c>
      <c r="K57" s="82"/>
      <c r="L57" s="80" t="s">
        <v>671</v>
      </c>
      <c r="M57" s="83"/>
    </row>
    <row r="58" spans="1:13" s="7" customFormat="1" ht="82.2" customHeight="1" x14ac:dyDescent="0.25">
      <c r="A58" s="72">
        <f>MAX($A$1:A57)+1</f>
        <v>41</v>
      </c>
      <c r="B58" s="73" t="s">
        <v>1405</v>
      </c>
      <c r="C58" s="74" t="str">
        <f t="shared" si="4"/>
        <v>Diag_0x27_Phy_041</v>
      </c>
      <c r="D58" s="74" t="s">
        <v>250</v>
      </c>
      <c r="E58" s="75" t="s">
        <v>20</v>
      </c>
      <c r="F58" s="76" t="s">
        <v>1499</v>
      </c>
      <c r="G58" s="76" t="s">
        <v>1406</v>
      </c>
      <c r="H58" s="59" t="s">
        <v>1410</v>
      </c>
      <c r="I58" s="77" t="s">
        <v>1493</v>
      </c>
      <c r="J58" s="78" t="s">
        <v>1724</v>
      </c>
      <c r="K58" s="82"/>
      <c r="L58" s="80" t="s">
        <v>671</v>
      </c>
      <c r="M58" s="83"/>
    </row>
    <row r="59" spans="1:13" s="7" customFormat="1" ht="58.2" customHeight="1" x14ac:dyDescent="0.25">
      <c r="A59" s="72">
        <f>MAX($A$1:A58)+1</f>
        <v>42</v>
      </c>
      <c r="B59" s="73" t="s">
        <v>1405</v>
      </c>
      <c r="C59" s="74" t="str">
        <f t="shared" si="4"/>
        <v>Diag_0x27_Phy_042</v>
      </c>
      <c r="D59" s="74" t="s">
        <v>1411</v>
      </c>
      <c r="E59" s="75" t="s">
        <v>20</v>
      </c>
      <c r="F59" s="76" t="s">
        <v>1499</v>
      </c>
      <c r="G59" s="76" t="s">
        <v>1095</v>
      </c>
      <c r="H59" s="59" t="s">
        <v>1410</v>
      </c>
      <c r="I59" s="77" t="s">
        <v>1500</v>
      </c>
      <c r="J59" s="78" t="s">
        <v>1722</v>
      </c>
      <c r="K59" s="82"/>
      <c r="L59" s="80" t="s">
        <v>671</v>
      </c>
      <c r="M59" s="83"/>
    </row>
    <row r="60" spans="1:13" s="7" customFormat="1" ht="57.6" customHeight="1" x14ac:dyDescent="0.25">
      <c r="A60" s="72">
        <f>MAX($A$1:A59)+1</f>
        <v>43</v>
      </c>
      <c r="B60" s="73" t="s">
        <v>1405</v>
      </c>
      <c r="C60" s="74" t="str">
        <f t="shared" si="4"/>
        <v>Diag_0x27_Phy_043</v>
      </c>
      <c r="D60" s="74" t="s">
        <v>1411</v>
      </c>
      <c r="E60" s="75" t="s">
        <v>20</v>
      </c>
      <c r="F60" s="76" t="s">
        <v>1499</v>
      </c>
      <c r="G60" s="76" t="s">
        <v>1406</v>
      </c>
      <c r="H60" s="59" t="s">
        <v>1410</v>
      </c>
      <c r="I60" s="77" t="s">
        <v>1501</v>
      </c>
      <c r="J60" s="78" t="s">
        <v>1725</v>
      </c>
      <c r="K60" s="84"/>
      <c r="L60" s="80" t="s">
        <v>671</v>
      </c>
      <c r="M60" s="85"/>
    </row>
    <row r="61" spans="1:13" s="7" customFormat="1" x14ac:dyDescent="0.25">
      <c r="A61" s="146" t="s">
        <v>1412</v>
      </c>
      <c r="B61" s="146"/>
      <c r="C61" s="146"/>
      <c r="D61" s="146"/>
      <c r="E61" s="146"/>
      <c r="F61" s="146"/>
      <c r="G61" s="146"/>
      <c r="H61" s="146"/>
      <c r="I61" s="146"/>
      <c r="J61" s="146"/>
      <c r="K61" s="146"/>
      <c r="L61" s="146"/>
      <c r="M61" s="146"/>
    </row>
    <row r="62" spans="1:13" s="7" customFormat="1" ht="72.599999999999994" customHeight="1" x14ac:dyDescent="0.25">
      <c r="A62" s="72">
        <f>MAX($A$1:A61)+1</f>
        <v>44</v>
      </c>
      <c r="B62" s="77" t="s">
        <v>1413</v>
      </c>
      <c r="C62" s="74" t="str">
        <f xml:space="preserve"> "Diag_0x27_Phy_" &amp; TEXT(A62, "000")</f>
        <v>Diag_0x27_Phy_044</v>
      </c>
      <c r="D62" s="74" t="s">
        <v>1414</v>
      </c>
      <c r="E62" s="75" t="s">
        <v>20</v>
      </c>
      <c r="F62" s="76" t="s">
        <v>1499</v>
      </c>
      <c r="G62" s="76" t="s">
        <v>1095</v>
      </c>
      <c r="H62" s="59" t="s">
        <v>1415</v>
      </c>
      <c r="I62" s="73" t="s">
        <v>1496</v>
      </c>
      <c r="J62" s="86" t="s">
        <v>1726</v>
      </c>
      <c r="K62" s="79"/>
      <c r="L62" s="80" t="s">
        <v>671</v>
      </c>
      <c r="M62" s="81"/>
    </row>
    <row r="63" spans="1:13" s="7" customFormat="1" x14ac:dyDescent="0.25">
      <c r="A63" s="146" t="s">
        <v>1416</v>
      </c>
      <c r="B63" s="146"/>
      <c r="C63" s="146"/>
      <c r="D63" s="146"/>
      <c r="E63" s="146"/>
      <c r="F63" s="146"/>
      <c r="G63" s="146"/>
      <c r="H63" s="146"/>
      <c r="I63" s="146"/>
      <c r="J63" s="146"/>
      <c r="K63" s="146"/>
      <c r="L63" s="146"/>
      <c r="M63" s="146"/>
    </row>
    <row r="64" spans="1:13" s="7" customFormat="1" ht="84" customHeight="1" x14ac:dyDescent="0.25">
      <c r="A64" s="72">
        <f>MAX($A$1:A63)+1</f>
        <v>45</v>
      </c>
      <c r="B64" s="73" t="s">
        <v>981</v>
      </c>
      <c r="C64" s="74" t="str">
        <f xml:space="preserve"> "Diag_0x27_Phy_" &amp; TEXT(A64, "000")</f>
        <v>Diag_0x27_Phy_045</v>
      </c>
      <c r="D64" s="74" t="s">
        <v>1417</v>
      </c>
      <c r="E64" s="75" t="s">
        <v>20</v>
      </c>
      <c r="F64" s="76" t="s">
        <v>1499</v>
      </c>
      <c r="G64" s="76" t="s">
        <v>1418</v>
      </c>
      <c r="H64" s="59" t="s">
        <v>983</v>
      </c>
      <c r="I64" s="73" t="s">
        <v>1495</v>
      </c>
      <c r="J64" s="86" t="s">
        <v>1744</v>
      </c>
      <c r="K64" s="79"/>
      <c r="L64" s="80" t="s">
        <v>671</v>
      </c>
      <c r="M64" s="81"/>
    </row>
    <row r="65" spans="1:13" s="7" customFormat="1" ht="114" customHeight="1" x14ac:dyDescent="0.25">
      <c r="A65" s="72">
        <f>MAX($A$1:A64)+1</f>
        <v>46</v>
      </c>
      <c r="B65" s="73" t="s">
        <v>981</v>
      </c>
      <c r="C65" s="74" t="str">
        <f xml:space="preserve"> "Diag_0x27_Phy_" &amp; TEXT(A65, "000")</f>
        <v>Diag_0x27_Phy_046</v>
      </c>
      <c r="D65" s="74" t="s">
        <v>1419</v>
      </c>
      <c r="E65" s="75" t="s">
        <v>20</v>
      </c>
      <c r="F65" s="76" t="s">
        <v>1499</v>
      </c>
      <c r="G65" s="76" t="s">
        <v>1095</v>
      </c>
      <c r="H65" s="59" t="s">
        <v>983</v>
      </c>
      <c r="I65" s="73" t="s">
        <v>1497</v>
      </c>
      <c r="J65" s="86" t="s">
        <v>1728</v>
      </c>
      <c r="K65" s="79"/>
      <c r="L65" s="80" t="s">
        <v>671</v>
      </c>
      <c r="M65" s="81"/>
    </row>
    <row r="66" spans="1:13" s="7" customFormat="1" ht="168" customHeight="1" x14ac:dyDescent="0.25">
      <c r="A66" s="72">
        <f>MAX($A$1:A65)+1</f>
        <v>47</v>
      </c>
      <c r="B66" s="73" t="s">
        <v>981</v>
      </c>
      <c r="C66" s="74" t="str">
        <f xml:space="preserve"> "Diag_0x27_Phy_" &amp; TEXT(A66, "000")</f>
        <v>Diag_0x27_Phy_047</v>
      </c>
      <c r="D66" s="74" t="s">
        <v>1420</v>
      </c>
      <c r="E66" s="75" t="s">
        <v>20</v>
      </c>
      <c r="F66" s="76" t="s">
        <v>1499</v>
      </c>
      <c r="G66" s="76" t="s">
        <v>1095</v>
      </c>
      <c r="H66" s="59" t="s">
        <v>983</v>
      </c>
      <c r="I66" s="73" t="s">
        <v>1421</v>
      </c>
      <c r="J66" s="86" t="s">
        <v>1729</v>
      </c>
      <c r="K66" s="79"/>
      <c r="L66" s="80" t="s">
        <v>671</v>
      </c>
      <c r="M66" s="81"/>
    </row>
    <row r="67" spans="1:13" s="7" customFormat="1" ht="81" customHeight="1" x14ac:dyDescent="0.25">
      <c r="A67" s="72">
        <f>MAX($A$1:A66)+1</f>
        <v>48</v>
      </c>
      <c r="B67" s="73" t="s">
        <v>1413</v>
      </c>
      <c r="C67" s="74" t="str">
        <f xml:space="preserve"> "Diag_0x27_Phy_" &amp; TEXT(A67, "000")</f>
        <v>Diag_0x27_Phy_048</v>
      </c>
      <c r="D67" s="87" t="s">
        <v>1422</v>
      </c>
      <c r="E67" s="75" t="s">
        <v>20</v>
      </c>
      <c r="F67" s="76" t="s">
        <v>1499</v>
      </c>
      <c r="G67" s="76" t="s">
        <v>1095</v>
      </c>
      <c r="H67" s="59" t="s">
        <v>1415</v>
      </c>
      <c r="I67" s="73" t="s">
        <v>1423</v>
      </c>
      <c r="J67" s="86" t="s">
        <v>1730</v>
      </c>
      <c r="K67" s="79"/>
      <c r="L67" s="80" t="s">
        <v>671</v>
      </c>
      <c r="M67" s="81"/>
    </row>
    <row r="68" spans="1:13" s="7" customFormat="1" ht="129.6" customHeight="1" x14ac:dyDescent="0.25">
      <c r="A68" s="72">
        <f>MAX($A$1:A67)+1</f>
        <v>49</v>
      </c>
      <c r="B68" s="73" t="s">
        <v>981</v>
      </c>
      <c r="C68" s="74" t="str">
        <f xml:space="preserve"> "Diag_0x27_Phy_" &amp; TEXT(A68, "000")</f>
        <v>Diag_0x27_Phy_049</v>
      </c>
      <c r="D68" s="87" t="s">
        <v>1424</v>
      </c>
      <c r="E68" s="75" t="s">
        <v>20</v>
      </c>
      <c r="F68" s="76" t="s">
        <v>1499</v>
      </c>
      <c r="G68" s="76" t="s">
        <v>1418</v>
      </c>
      <c r="H68" s="59" t="s">
        <v>1410</v>
      </c>
      <c r="I68" s="73" t="s">
        <v>1425</v>
      </c>
      <c r="J68" s="86" t="s">
        <v>1731</v>
      </c>
      <c r="K68" s="79"/>
      <c r="L68" s="80" t="s">
        <v>671</v>
      </c>
      <c r="M68" s="81"/>
    </row>
    <row r="69" spans="1:13" s="7" customFormat="1" x14ac:dyDescent="0.25">
      <c r="A69" s="146" t="s">
        <v>1426</v>
      </c>
      <c r="B69" s="146"/>
      <c r="C69" s="146"/>
      <c r="D69" s="146"/>
      <c r="E69" s="146"/>
      <c r="F69" s="146"/>
      <c r="G69" s="146"/>
      <c r="H69" s="146"/>
      <c r="I69" s="146"/>
      <c r="J69" s="146"/>
      <c r="K69" s="146"/>
      <c r="L69" s="146"/>
      <c r="M69" s="146"/>
    </row>
    <row r="70" spans="1:13" s="7" customFormat="1" ht="180" customHeight="1" x14ac:dyDescent="0.25">
      <c r="A70" s="72">
        <f>MAX($A$1:A69)+1</f>
        <v>50</v>
      </c>
      <c r="B70" s="73" t="s">
        <v>981</v>
      </c>
      <c r="C70" s="74" t="str">
        <f t="shared" ref="C70:C79" si="5" xml:space="preserve"> "Diag_0x27_Phy_" &amp; TEXT(A70, "000")</f>
        <v>Diag_0x27_Phy_050</v>
      </c>
      <c r="D70" s="74" t="s">
        <v>1427</v>
      </c>
      <c r="E70" s="75" t="s">
        <v>20</v>
      </c>
      <c r="F70" s="76" t="s">
        <v>1499</v>
      </c>
      <c r="G70" s="76" t="s">
        <v>1095</v>
      </c>
      <c r="H70" s="59" t="s">
        <v>1428</v>
      </c>
      <c r="I70" s="73" t="s">
        <v>1429</v>
      </c>
      <c r="J70" s="78" t="s">
        <v>1732</v>
      </c>
      <c r="K70" s="79"/>
      <c r="L70" s="80" t="s">
        <v>671</v>
      </c>
      <c r="M70" s="81"/>
    </row>
    <row r="71" spans="1:13" s="7" customFormat="1" ht="243.6" customHeight="1" x14ac:dyDescent="0.25">
      <c r="A71" s="72">
        <f>MAX($A$1:A70)+1</f>
        <v>51</v>
      </c>
      <c r="B71" s="73" t="s">
        <v>1405</v>
      </c>
      <c r="C71" s="74" t="str">
        <f t="shared" si="5"/>
        <v>Diag_0x27_Phy_051</v>
      </c>
      <c r="D71" s="74" t="s">
        <v>1430</v>
      </c>
      <c r="E71" s="75" t="s">
        <v>20</v>
      </c>
      <c r="F71" s="76" t="s">
        <v>1499</v>
      </c>
      <c r="G71" s="76" t="s">
        <v>1095</v>
      </c>
      <c r="H71" s="59" t="s">
        <v>983</v>
      </c>
      <c r="I71" s="73" t="s">
        <v>1431</v>
      </c>
      <c r="J71" s="78" t="s">
        <v>1733</v>
      </c>
      <c r="K71" s="79"/>
      <c r="L71" s="80" t="s">
        <v>671</v>
      </c>
      <c r="M71" s="81"/>
    </row>
    <row r="72" spans="1:13" s="7" customFormat="1" ht="235.8" customHeight="1" x14ac:dyDescent="0.25">
      <c r="A72" s="88">
        <f>MAX($A$1:A71)+1</f>
        <v>52</v>
      </c>
      <c r="B72" s="89" t="s">
        <v>981</v>
      </c>
      <c r="C72" s="90" t="str">
        <f t="shared" si="5"/>
        <v>Diag_0x27_Phy_052</v>
      </c>
      <c r="D72" s="90" t="s">
        <v>1432</v>
      </c>
      <c r="E72" s="91" t="s">
        <v>20</v>
      </c>
      <c r="F72" s="92" t="s">
        <v>1499</v>
      </c>
      <c r="G72" s="92" t="s">
        <v>1433</v>
      </c>
      <c r="H72" s="93" t="s">
        <v>1415</v>
      </c>
      <c r="I72" s="89" t="s">
        <v>1434</v>
      </c>
      <c r="J72" s="94" t="s">
        <v>1734</v>
      </c>
      <c r="K72" s="95"/>
      <c r="L72" s="46" t="s">
        <v>671</v>
      </c>
      <c r="M72" s="96"/>
    </row>
    <row r="73" spans="1:13" s="7" customFormat="1" ht="247.8" customHeight="1" x14ac:dyDescent="0.25">
      <c r="A73" s="72">
        <f>MAX($A$1:A72)+1</f>
        <v>53</v>
      </c>
      <c r="B73" s="73" t="s">
        <v>981</v>
      </c>
      <c r="C73" s="74" t="str">
        <f t="shared" si="5"/>
        <v>Diag_0x27_Phy_053</v>
      </c>
      <c r="D73" s="74" t="s">
        <v>1435</v>
      </c>
      <c r="E73" s="75" t="s">
        <v>20</v>
      </c>
      <c r="F73" s="76" t="s">
        <v>1499</v>
      </c>
      <c r="G73" s="76" t="s">
        <v>1095</v>
      </c>
      <c r="H73" s="59" t="s">
        <v>983</v>
      </c>
      <c r="I73" s="73" t="s">
        <v>1436</v>
      </c>
      <c r="J73" s="78" t="s">
        <v>1735</v>
      </c>
      <c r="K73" s="79"/>
      <c r="L73" s="80" t="s">
        <v>671</v>
      </c>
      <c r="M73" s="81"/>
    </row>
    <row r="74" spans="1:13" s="7" customFormat="1" ht="409.6" x14ac:dyDescent="0.25">
      <c r="A74" s="72">
        <f>MAX($A$1:A73)+1</f>
        <v>54</v>
      </c>
      <c r="B74" s="73" t="s">
        <v>981</v>
      </c>
      <c r="C74" s="74" t="str">
        <f t="shared" si="5"/>
        <v>Diag_0x27_Phy_054</v>
      </c>
      <c r="D74" s="74" t="s">
        <v>1437</v>
      </c>
      <c r="E74" s="75" t="s">
        <v>20</v>
      </c>
      <c r="F74" s="76" t="s">
        <v>1499</v>
      </c>
      <c r="G74" s="76" t="s">
        <v>1406</v>
      </c>
      <c r="H74" s="59" t="s">
        <v>983</v>
      </c>
      <c r="I74" s="73" t="s">
        <v>1438</v>
      </c>
      <c r="J74" s="78" t="s">
        <v>1736</v>
      </c>
      <c r="K74" s="79"/>
      <c r="L74" s="80" t="s">
        <v>671</v>
      </c>
      <c r="M74" s="81"/>
    </row>
    <row r="75" spans="1:13" s="7" customFormat="1" ht="274.8" customHeight="1" x14ac:dyDescent="0.25">
      <c r="A75" s="72">
        <f>MAX($A$1:A74)+1</f>
        <v>55</v>
      </c>
      <c r="B75" s="73" t="s">
        <v>1413</v>
      </c>
      <c r="C75" s="74" t="str">
        <f t="shared" si="5"/>
        <v>Diag_0x27_Phy_055</v>
      </c>
      <c r="D75" s="74" t="s">
        <v>1439</v>
      </c>
      <c r="E75" s="75" t="s">
        <v>20</v>
      </c>
      <c r="F75" s="76" t="s">
        <v>1499</v>
      </c>
      <c r="G75" s="76" t="s">
        <v>1095</v>
      </c>
      <c r="H75" s="59" t="s">
        <v>1410</v>
      </c>
      <c r="I75" s="73" t="s">
        <v>1440</v>
      </c>
      <c r="J75" s="78" t="s">
        <v>1737</v>
      </c>
      <c r="K75" s="79"/>
      <c r="L75" s="80" t="s">
        <v>671</v>
      </c>
      <c r="M75" s="81"/>
    </row>
    <row r="76" spans="1:13" s="7" customFormat="1" ht="228.6" customHeight="1" x14ac:dyDescent="0.25">
      <c r="A76" s="72">
        <f>MAX($A$1:A75)+1</f>
        <v>56</v>
      </c>
      <c r="B76" s="73" t="s">
        <v>1441</v>
      </c>
      <c r="C76" s="74" t="str">
        <f t="shared" si="5"/>
        <v>Diag_0x27_Phy_056</v>
      </c>
      <c r="D76" s="74" t="s">
        <v>1442</v>
      </c>
      <c r="E76" s="75" t="s">
        <v>20</v>
      </c>
      <c r="F76" s="76" t="s">
        <v>1499</v>
      </c>
      <c r="G76" s="76" t="s">
        <v>1095</v>
      </c>
      <c r="H76" s="59" t="s">
        <v>983</v>
      </c>
      <c r="I76" s="73" t="s">
        <v>1443</v>
      </c>
      <c r="J76" s="78" t="s">
        <v>1738</v>
      </c>
      <c r="K76" s="79"/>
      <c r="L76" s="80" t="s">
        <v>671</v>
      </c>
      <c r="M76" s="81"/>
    </row>
    <row r="77" spans="1:13" s="7" customFormat="1" ht="264" x14ac:dyDescent="0.25">
      <c r="A77" s="72">
        <f>MAX($A$1:A76)+1</f>
        <v>57</v>
      </c>
      <c r="B77" s="73" t="s">
        <v>1444</v>
      </c>
      <c r="C77" s="74" t="str">
        <f t="shared" si="5"/>
        <v>Diag_0x27_Phy_057</v>
      </c>
      <c r="D77" s="74" t="s">
        <v>1445</v>
      </c>
      <c r="E77" s="75" t="s">
        <v>20</v>
      </c>
      <c r="F77" s="76" t="s">
        <v>1499</v>
      </c>
      <c r="G77" s="76" t="s">
        <v>1095</v>
      </c>
      <c r="H77" s="59" t="s">
        <v>1446</v>
      </c>
      <c r="I77" s="73" t="s">
        <v>1447</v>
      </c>
      <c r="J77" s="78" t="s">
        <v>1739</v>
      </c>
      <c r="K77" s="79"/>
      <c r="L77" s="80" t="s">
        <v>671</v>
      </c>
      <c r="M77" s="81"/>
    </row>
    <row r="78" spans="1:13" s="7" customFormat="1" ht="244.8" customHeight="1" x14ac:dyDescent="0.25">
      <c r="A78" s="88">
        <f>MAX($A$1:A77)+1</f>
        <v>58</v>
      </c>
      <c r="B78" s="89" t="s">
        <v>981</v>
      </c>
      <c r="C78" s="90" t="str">
        <f t="shared" si="5"/>
        <v>Diag_0x27_Phy_058</v>
      </c>
      <c r="D78" s="90" t="s">
        <v>1448</v>
      </c>
      <c r="E78" s="91" t="s">
        <v>20</v>
      </c>
      <c r="F78" s="92" t="s">
        <v>1499</v>
      </c>
      <c r="G78" s="92" t="s">
        <v>1117</v>
      </c>
      <c r="H78" s="93" t="s">
        <v>983</v>
      </c>
      <c r="I78" s="89" t="s">
        <v>1449</v>
      </c>
      <c r="J78" s="94" t="s">
        <v>1740</v>
      </c>
      <c r="K78" s="95"/>
      <c r="L78" s="80" t="s">
        <v>671</v>
      </c>
      <c r="M78" s="96"/>
    </row>
    <row r="79" spans="1:13" s="7" customFormat="1" ht="238.2" customHeight="1" x14ac:dyDescent="0.25">
      <c r="A79" s="72">
        <f>MAX($A$1:A78)+1</f>
        <v>59</v>
      </c>
      <c r="B79" s="73" t="s">
        <v>981</v>
      </c>
      <c r="C79" s="74" t="str">
        <f t="shared" si="5"/>
        <v>Diag_0x27_Phy_059</v>
      </c>
      <c r="D79" s="74" t="s">
        <v>1450</v>
      </c>
      <c r="E79" s="75" t="s">
        <v>20</v>
      </c>
      <c r="F79" s="76" t="s">
        <v>1499</v>
      </c>
      <c r="G79" s="76" t="s">
        <v>1095</v>
      </c>
      <c r="H79" s="59" t="s">
        <v>983</v>
      </c>
      <c r="I79" s="89" t="s">
        <v>1451</v>
      </c>
      <c r="J79" s="94" t="s">
        <v>1741</v>
      </c>
      <c r="K79" s="79"/>
      <c r="L79" s="80" t="s">
        <v>671</v>
      </c>
      <c r="M79" s="81"/>
    </row>
    <row r="80" spans="1:13" s="7" customFormat="1" ht="409.6" x14ac:dyDescent="0.25">
      <c r="A80" s="97">
        <f>MAX($A$1:A79)+1</f>
        <v>60</v>
      </c>
      <c r="B80" s="98" t="s">
        <v>981</v>
      </c>
      <c r="C80" s="99" t="str">
        <f xml:space="preserve"> "Diag_0x27_Phy_" &amp; TEXT(A80, "000")</f>
        <v>Diag_0x27_Phy_060</v>
      </c>
      <c r="D80" s="99" t="s">
        <v>1452</v>
      </c>
      <c r="E80" s="75" t="s">
        <v>20</v>
      </c>
      <c r="F80" s="76" t="s">
        <v>1499</v>
      </c>
      <c r="G80" s="76" t="s">
        <v>1406</v>
      </c>
      <c r="H80" s="59" t="s">
        <v>1453</v>
      </c>
      <c r="I80" s="89" t="s">
        <v>1454</v>
      </c>
      <c r="J80" s="94" t="s">
        <v>1742</v>
      </c>
      <c r="K80" s="100"/>
      <c r="L80" s="46" t="s">
        <v>671</v>
      </c>
      <c r="M80" s="101"/>
    </row>
    <row r="81" spans="1:13" s="7" customFormat="1" ht="294" customHeight="1" x14ac:dyDescent="0.25">
      <c r="A81" s="97">
        <f>MAX($A$1:A80)+1</f>
        <v>61</v>
      </c>
      <c r="B81" s="98" t="s">
        <v>981</v>
      </c>
      <c r="C81" s="99" t="str">
        <f t="shared" ref="C81:C84" si="6" xml:space="preserve"> "Diag_0x27_Phy_" &amp; TEXT(A81, "000")</f>
        <v>Diag_0x27_Phy_061</v>
      </c>
      <c r="D81" s="99" t="s">
        <v>1455</v>
      </c>
      <c r="E81" s="75" t="s">
        <v>20</v>
      </c>
      <c r="F81" s="76" t="s">
        <v>1499</v>
      </c>
      <c r="G81" s="76" t="s">
        <v>1095</v>
      </c>
      <c r="H81" s="59" t="s">
        <v>1456</v>
      </c>
      <c r="I81" s="102" t="s">
        <v>1457</v>
      </c>
      <c r="J81" s="103" t="s">
        <v>1502</v>
      </c>
      <c r="K81" s="100"/>
      <c r="L81" s="46" t="s">
        <v>671</v>
      </c>
      <c r="M81" s="101"/>
    </row>
    <row r="82" spans="1:13" s="7" customFormat="1" ht="190.8" customHeight="1" x14ac:dyDescent="0.25">
      <c r="A82" s="97">
        <f>MAX($A$1:A81)+1</f>
        <v>62</v>
      </c>
      <c r="B82" s="98" t="s">
        <v>1458</v>
      </c>
      <c r="C82" s="99" t="str">
        <f t="shared" si="6"/>
        <v>Diag_0x27_Phy_062</v>
      </c>
      <c r="D82" s="53" t="s">
        <v>1459</v>
      </c>
      <c r="E82" s="75" t="s">
        <v>20</v>
      </c>
      <c r="F82" s="76" t="s">
        <v>1499</v>
      </c>
      <c r="G82" s="76" t="s">
        <v>1095</v>
      </c>
      <c r="H82" s="59" t="s">
        <v>1460</v>
      </c>
      <c r="I82" s="102" t="s">
        <v>1498</v>
      </c>
      <c r="J82" s="103" t="s">
        <v>1503</v>
      </c>
      <c r="K82" s="100"/>
      <c r="L82" s="46" t="s">
        <v>671</v>
      </c>
      <c r="M82" s="101"/>
    </row>
    <row r="83" spans="1:13" s="7" customFormat="1" ht="316.8" x14ac:dyDescent="0.25">
      <c r="A83" s="97">
        <f>MAX($A$1:A82)+1</f>
        <v>63</v>
      </c>
      <c r="B83" s="98" t="s">
        <v>981</v>
      </c>
      <c r="C83" s="99" t="str">
        <f t="shared" si="6"/>
        <v>Diag_0x27_Phy_063</v>
      </c>
      <c r="D83" s="53" t="s">
        <v>1461</v>
      </c>
      <c r="E83" s="75" t="s">
        <v>20</v>
      </c>
      <c r="F83" s="76" t="s">
        <v>1499</v>
      </c>
      <c r="G83" s="76" t="s">
        <v>1095</v>
      </c>
      <c r="H83" s="59" t="s">
        <v>1462</v>
      </c>
      <c r="I83" s="102" t="s">
        <v>1463</v>
      </c>
      <c r="J83" s="103" t="s">
        <v>1504</v>
      </c>
      <c r="K83" s="100"/>
      <c r="L83" s="46" t="s">
        <v>671</v>
      </c>
      <c r="M83" s="101"/>
    </row>
    <row r="84" spans="1:13" s="7" customFormat="1" ht="264" customHeight="1" x14ac:dyDescent="0.25">
      <c r="A84" s="97">
        <f>MAX($A$1:A83)+1</f>
        <v>64</v>
      </c>
      <c r="B84" s="98" t="s">
        <v>981</v>
      </c>
      <c r="C84" s="99" t="str">
        <f t="shared" si="6"/>
        <v>Diag_0x27_Phy_064</v>
      </c>
      <c r="D84" s="53" t="s">
        <v>1464</v>
      </c>
      <c r="E84" s="75" t="s">
        <v>20</v>
      </c>
      <c r="F84" s="76" t="s">
        <v>1499</v>
      </c>
      <c r="G84" s="76" t="s">
        <v>1465</v>
      </c>
      <c r="H84" s="59" t="s">
        <v>1466</v>
      </c>
      <c r="I84" s="102" t="s">
        <v>1467</v>
      </c>
      <c r="J84" s="103" t="s">
        <v>1505</v>
      </c>
      <c r="K84" s="100"/>
      <c r="L84" s="46" t="s">
        <v>671</v>
      </c>
      <c r="M84" s="101"/>
    </row>
    <row r="85" spans="1:13" s="7" customFormat="1" x14ac:dyDescent="0.25">
      <c r="A85" s="146" t="s">
        <v>1468</v>
      </c>
      <c r="B85" s="146"/>
      <c r="C85" s="146"/>
      <c r="D85" s="146"/>
      <c r="E85" s="146"/>
      <c r="F85" s="146"/>
      <c r="G85" s="146"/>
      <c r="H85" s="146"/>
      <c r="I85" s="146"/>
      <c r="J85" s="146"/>
      <c r="K85" s="146"/>
      <c r="L85" s="146"/>
      <c r="M85" s="146"/>
    </row>
    <row r="86" spans="1:13" s="7" customFormat="1" ht="105.6" x14ac:dyDescent="0.25">
      <c r="A86" s="56">
        <f>MAX($A$1:A83)+1</f>
        <v>64</v>
      </c>
      <c r="B86" s="57" t="s">
        <v>981</v>
      </c>
      <c r="C86" s="53" t="str">
        <f xml:space="preserve"> "Diag_0x27_Phy_" &amp; TEXT(A86, "000")</f>
        <v>Diag_0x27_Phy_064</v>
      </c>
      <c r="D86" s="53" t="s">
        <v>1750</v>
      </c>
      <c r="E86" s="58" t="s">
        <v>20</v>
      </c>
      <c r="F86" s="9" t="s">
        <v>1499</v>
      </c>
      <c r="G86" s="9" t="s">
        <v>1117</v>
      </c>
      <c r="H86" s="59" t="s">
        <v>1410</v>
      </c>
      <c r="I86" s="57" t="s">
        <v>1748</v>
      </c>
      <c r="J86" s="71" t="s">
        <v>1749</v>
      </c>
      <c r="K86" s="104"/>
      <c r="L86" s="46" t="s">
        <v>671</v>
      </c>
      <c r="M86" s="105"/>
    </row>
    <row r="87" spans="1:13" s="7" customFormat="1" ht="118.8" x14ac:dyDescent="0.25">
      <c r="A87" s="56">
        <f>MAX($A$1:A84)+1</f>
        <v>65</v>
      </c>
      <c r="B87" s="57" t="s">
        <v>981</v>
      </c>
      <c r="C87" s="53" t="str">
        <f xml:space="preserve"> "Diag_0x27_Phy_" &amp; TEXT(A87, "000")</f>
        <v>Diag_0x27_Phy_065</v>
      </c>
      <c r="D87" s="53" t="s">
        <v>1698</v>
      </c>
      <c r="E87" s="58" t="s">
        <v>20</v>
      </c>
      <c r="F87" s="9" t="s">
        <v>1499</v>
      </c>
      <c r="G87" s="9" t="s">
        <v>1117</v>
      </c>
      <c r="H87" s="59" t="s">
        <v>1410</v>
      </c>
      <c r="I87" s="57" t="s">
        <v>1699</v>
      </c>
      <c r="J87" s="71" t="s">
        <v>1745</v>
      </c>
      <c r="K87" s="104"/>
      <c r="L87" s="46" t="s">
        <v>671</v>
      </c>
      <c r="M87" s="105"/>
    </row>
    <row r="88" spans="1:13" s="7" customFormat="1" x14ac:dyDescent="0.25">
      <c r="A88" s="146" t="s">
        <v>1469</v>
      </c>
      <c r="B88" s="146"/>
      <c r="C88" s="146"/>
      <c r="D88" s="146"/>
      <c r="E88" s="146"/>
      <c r="F88" s="146"/>
      <c r="G88" s="146"/>
      <c r="H88" s="146"/>
      <c r="I88" s="146"/>
      <c r="J88" s="146"/>
      <c r="K88" s="146"/>
      <c r="L88" s="146"/>
      <c r="M88" s="146"/>
    </row>
    <row r="89" spans="1:13" s="7" customFormat="1" ht="136.80000000000001" customHeight="1" x14ac:dyDescent="0.25">
      <c r="A89" s="56">
        <f>MAX($A$1:A88)+1</f>
        <v>66</v>
      </c>
      <c r="B89" s="57" t="s">
        <v>1470</v>
      </c>
      <c r="C89" s="53" t="str">
        <f xml:space="preserve"> "Diag_0x27_Phy_" &amp; TEXT(A89, "000")</f>
        <v>Diag_0x27_Phy_066</v>
      </c>
      <c r="D89" s="9" t="s">
        <v>1471</v>
      </c>
      <c r="E89" s="58" t="s">
        <v>20</v>
      </c>
      <c r="F89" s="9" t="s">
        <v>1499</v>
      </c>
      <c r="G89" s="9" t="s">
        <v>1095</v>
      </c>
      <c r="H89" s="59" t="s">
        <v>1410</v>
      </c>
      <c r="I89" s="57" t="s">
        <v>1746</v>
      </c>
      <c r="J89" s="71" t="s">
        <v>1747</v>
      </c>
      <c r="K89" s="104"/>
      <c r="L89" s="46" t="s">
        <v>671</v>
      </c>
      <c r="M89" s="105"/>
    </row>
    <row r="90" spans="1:13" s="7" customFormat="1" ht="129" customHeight="1" x14ac:dyDescent="0.25">
      <c r="A90" s="56">
        <f>MAX($A$1:A89)+1</f>
        <v>67</v>
      </c>
      <c r="B90" s="57" t="s">
        <v>1115</v>
      </c>
      <c r="C90" s="53" t="str">
        <f xml:space="preserve"> "Diag_0x27_Phy_" &amp; TEXT(A90, "000")</f>
        <v>Diag_0x27_Phy_067</v>
      </c>
      <c r="D90" s="9" t="s">
        <v>1472</v>
      </c>
      <c r="E90" s="58" t="s">
        <v>20</v>
      </c>
      <c r="F90" s="9" t="s">
        <v>1499</v>
      </c>
      <c r="G90" s="9" t="s">
        <v>1095</v>
      </c>
      <c r="H90" s="59" t="s">
        <v>983</v>
      </c>
      <c r="I90" s="57" t="s">
        <v>1700</v>
      </c>
      <c r="J90" s="71" t="s">
        <v>1697</v>
      </c>
      <c r="K90" s="106"/>
      <c r="L90" s="46" t="s">
        <v>671</v>
      </c>
      <c r="M90" s="107"/>
    </row>
    <row r="91" spans="1:13" s="7" customFormat="1" ht="103.8" customHeight="1" x14ac:dyDescent="0.25">
      <c r="A91" s="56">
        <f>MAX($A$1:A90)+1</f>
        <v>68</v>
      </c>
      <c r="B91" s="57" t="s">
        <v>981</v>
      </c>
      <c r="C91" s="53" t="str">
        <f xml:space="preserve"> "Diag_0x27_Phy_" &amp; TEXT(A91, "000")</f>
        <v>Diag_0x27_Phy_068</v>
      </c>
      <c r="D91" s="53" t="s">
        <v>315</v>
      </c>
      <c r="E91" s="58" t="s">
        <v>20</v>
      </c>
      <c r="F91" s="9" t="s">
        <v>1499</v>
      </c>
      <c r="G91" s="9" t="s">
        <v>1095</v>
      </c>
      <c r="H91" s="59" t="s">
        <v>1410</v>
      </c>
      <c r="I91" s="57" t="s">
        <v>1701</v>
      </c>
      <c r="J91" s="71" t="s">
        <v>1702</v>
      </c>
      <c r="K91" s="108"/>
      <c r="L91" s="46" t="s">
        <v>671</v>
      </c>
      <c r="M91" s="109"/>
    </row>
    <row r="92" spans="1:13" s="7" customFormat="1" ht="102" customHeight="1" x14ac:dyDescent="0.25">
      <c r="A92" s="97">
        <f>MAX($A$1:A91)+1</f>
        <v>69</v>
      </c>
      <c r="B92" s="110" t="s">
        <v>1115</v>
      </c>
      <c r="C92" s="111" t="str">
        <f xml:space="preserve"> "Diag_0x27_Phy_" &amp; TEXT(A92, "000")</f>
        <v>Diag_0x27_Phy_069</v>
      </c>
      <c r="D92" s="111" t="s">
        <v>317</v>
      </c>
      <c r="E92" s="112" t="s">
        <v>20</v>
      </c>
      <c r="F92" s="113" t="s">
        <v>1499</v>
      </c>
      <c r="G92" s="113" t="s">
        <v>1473</v>
      </c>
      <c r="H92" s="114" t="s">
        <v>1474</v>
      </c>
      <c r="I92" s="110" t="s">
        <v>1475</v>
      </c>
      <c r="J92" s="115" t="s">
        <v>1506</v>
      </c>
      <c r="K92" s="108"/>
      <c r="L92" s="46" t="s">
        <v>671</v>
      </c>
      <c r="M92" s="109"/>
    </row>
    <row r="93" spans="1:13" s="7" customFormat="1" x14ac:dyDescent="0.25">
      <c r="A93" s="146" t="s">
        <v>1476</v>
      </c>
      <c r="B93" s="146"/>
      <c r="C93" s="146"/>
      <c r="D93" s="146"/>
      <c r="E93" s="146"/>
      <c r="F93" s="146"/>
      <c r="G93" s="146"/>
      <c r="H93" s="146"/>
      <c r="I93" s="146"/>
      <c r="J93" s="146"/>
      <c r="K93" s="146"/>
      <c r="L93" s="146"/>
      <c r="M93" s="146"/>
    </row>
    <row r="94" spans="1:13" s="7" customFormat="1" ht="62.4" customHeight="1" x14ac:dyDescent="0.25">
      <c r="A94" s="97">
        <f>MAX($A$1:A93)+1</f>
        <v>70</v>
      </c>
      <c r="B94" s="57" t="s">
        <v>1444</v>
      </c>
      <c r="C94" s="99" t="str">
        <f xml:space="preserve"> "Diag_0x27_Phy_" &amp; TEXT(A94, "000")</f>
        <v>Diag_0x27_Phy_070</v>
      </c>
      <c r="D94" s="10" t="s">
        <v>1477</v>
      </c>
      <c r="E94" s="58" t="s">
        <v>55</v>
      </c>
      <c r="F94" s="9" t="s">
        <v>1499</v>
      </c>
      <c r="G94" s="9" t="s">
        <v>1478</v>
      </c>
      <c r="H94" s="59" t="s">
        <v>1120</v>
      </c>
      <c r="I94" s="57" t="s">
        <v>1479</v>
      </c>
      <c r="J94" s="71" t="s">
        <v>1507</v>
      </c>
      <c r="K94" s="104"/>
      <c r="L94" s="46" t="s">
        <v>671</v>
      </c>
      <c r="M94" s="105"/>
    </row>
    <row r="95" spans="1:13" s="7" customFormat="1" ht="74.400000000000006" customHeight="1" x14ac:dyDescent="0.25">
      <c r="A95" s="97">
        <f>MAX($A$1:A94)+1</f>
        <v>71</v>
      </c>
      <c r="B95" s="57" t="s">
        <v>1405</v>
      </c>
      <c r="C95" s="99" t="str">
        <f xml:space="preserve"> "Diag_0x27_Phy_" &amp; TEXT(A95, "000")</f>
        <v>Diag_0x27_Phy_071</v>
      </c>
      <c r="D95" s="10" t="s">
        <v>1480</v>
      </c>
      <c r="E95" s="58" t="s">
        <v>55</v>
      </c>
      <c r="F95" s="9" t="s">
        <v>1499</v>
      </c>
      <c r="G95" s="9" t="s">
        <v>1481</v>
      </c>
      <c r="H95" s="59" t="s">
        <v>1120</v>
      </c>
      <c r="I95" s="116" t="s">
        <v>1482</v>
      </c>
      <c r="J95" s="71" t="s">
        <v>1507</v>
      </c>
      <c r="K95" s="108"/>
      <c r="L95" s="46" t="s">
        <v>671</v>
      </c>
      <c r="M95" s="109"/>
    </row>
    <row r="96" spans="1:13" s="7" customFormat="1" x14ac:dyDescent="0.25">
      <c r="A96" s="146" t="s">
        <v>1483</v>
      </c>
      <c r="B96" s="146"/>
      <c r="C96" s="146"/>
      <c r="D96" s="146"/>
      <c r="E96" s="146"/>
      <c r="F96" s="146"/>
      <c r="G96" s="146"/>
      <c r="H96" s="146"/>
      <c r="I96" s="146"/>
      <c r="J96" s="146"/>
      <c r="K96" s="146"/>
      <c r="L96" s="146"/>
      <c r="M96" s="146"/>
    </row>
    <row r="97" spans="1:13" s="7" customFormat="1" ht="38.4" customHeight="1" x14ac:dyDescent="0.25">
      <c r="A97" s="97">
        <f>MAX($A$1:A96)+1</f>
        <v>72</v>
      </c>
      <c r="B97" s="57" t="s">
        <v>981</v>
      </c>
      <c r="C97" s="99" t="str">
        <f xml:space="preserve"> "Diag_0x27_Phy_" &amp; TEXT(A97, "000")</f>
        <v>Diag_0x27_Phy_072</v>
      </c>
      <c r="D97" s="10" t="s">
        <v>1703</v>
      </c>
      <c r="E97" s="58" t="s">
        <v>55</v>
      </c>
      <c r="F97" s="9" t="s">
        <v>1499</v>
      </c>
      <c r="G97" s="9" t="s">
        <v>1481</v>
      </c>
      <c r="H97" s="59" t="s">
        <v>1410</v>
      </c>
      <c r="I97" s="57" t="s">
        <v>1709</v>
      </c>
      <c r="J97" s="71" t="s">
        <v>1507</v>
      </c>
      <c r="K97" s="104"/>
      <c r="L97" s="46" t="s">
        <v>671</v>
      </c>
      <c r="M97" s="121"/>
    </row>
    <row r="98" spans="1:13" s="7" customFormat="1" ht="45.6" customHeight="1" x14ac:dyDescent="0.25">
      <c r="A98" s="97">
        <f>MAX($A$1:A97)+1</f>
        <v>73</v>
      </c>
      <c r="B98" s="57" t="s">
        <v>981</v>
      </c>
      <c r="C98" s="99" t="str">
        <f xml:space="preserve"> "Diag_0x27_Phy_" &amp; TEXT(A98, "000")</f>
        <v>Diag_0x27_Phy_073</v>
      </c>
      <c r="D98" s="10" t="s">
        <v>1704</v>
      </c>
      <c r="E98" s="58" t="s">
        <v>55</v>
      </c>
      <c r="F98" s="9" t="s">
        <v>1499</v>
      </c>
      <c r="G98" s="9" t="s">
        <v>1481</v>
      </c>
      <c r="H98" s="59" t="s">
        <v>1410</v>
      </c>
      <c r="I98" s="57" t="s">
        <v>1705</v>
      </c>
      <c r="J98" s="71" t="s">
        <v>1706</v>
      </c>
      <c r="K98" s="104"/>
      <c r="L98" s="46" t="s">
        <v>671</v>
      </c>
      <c r="M98" s="121"/>
    </row>
    <row r="99" spans="1:13" s="7" customFormat="1" ht="66.599999999999994" customHeight="1" x14ac:dyDescent="0.25">
      <c r="A99" s="97">
        <f>MAX($A$1:A98)+1</f>
        <v>74</v>
      </c>
      <c r="B99" s="57" t="s">
        <v>981</v>
      </c>
      <c r="C99" s="99" t="str">
        <f xml:space="preserve"> "Diag_0x27_Phy_" &amp; TEXT(A99, "000")</f>
        <v>Diag_0x27_Phy_074</v>
      </c>
      <c r="D99" s="10" t="s">
        <v>1708</v>
      </c>
      <c r="E99" s="58" t="s">
        <v>55</v>
      </c>
      <c r="F99" s="9" t="s">
        <v>1499</v>
      </c>
      <c r="G99" s="9" t="s">
        <v>1481</v>
      </c>
      <c r="H99" s="59" t="s">
        <v>1410</v>
      </c>
      <c r="I99" s="57" t="s">
        <v>1710</v>
      </c>
      <c r="J99" s="71" t="s">
        <v>1711</v>
      </c>
      <c r="K99" s="104"/>
      <c r="L99" s="46" t="s">
        <v>671</v>
      </c>
      <c r="M99" s="105"/>
    </row>
    <row r="100" spans="1:13" s="7" customFormat="1" x14ac:dyDescent="0.25">
      <c r="A100" s="146" t="s">
        <v>1484</v>
      </c>
      <c r="B100" s="146"/>
      <c r="C100" s="146"/>
      <c r="D100" s="146"/>
      <c r="E100" s="146"/>
      <c r="F100" s="146"/>
      <c r="G100" s="146"/>
      <c r="H100" s="146"/>
      <c r="I100" s="146"/>
      <c r="J100" s="146"/>
      <c r="K100" s="146"/>
      <c r="L100" s="146"/>
      <c r="M100" s="146"/>
    </row>
    <row r="101" spans="1:13" s="7" customFormat="1" x14ac:dyDescent="0.25">
      <c r="A101" s="146" t="s">
        <v>88</v>
      </c>
      <c r="B101" s="146"/>
      <c r="C101" s="146"/>
      <c r="D101" s="146"/>
      <c r="E101" s="146"/>
      <c r="F101" s="146"/>
      <c r="G101" s="146"/>
      <c r="H101" s="146"/>
      <c r="I101" s="146"/>
      <c r="J101" s="146"/>
      <c r="K101" s="146"/>
      <c r="L101" s="146"/>
      <c r="M101" s="146"/>
    </row>
    <row r="102" spans="1:13" s="7" customFormat="1" ht="70.8" customHeight="1" x14ac:dyDescent="0.25">
      <c r="A102" s="97">
        <f>MAX($A$1:A101)+1</f>
        <v>75</v>
      </c>
      <c r="B102" s="57" t="s">
        <v>1115</v>
      </c>
      <c r="C102" s="99" t="str">
        <f xml:space="preserve"> "Diag_0x27_Fun_" &amp; TEXT(A102, "000")</f>
        <v>Diag_0x27_Fun_075</v>
      </c>
      <c r="D102" s="53" t="s">
        <v>1485</v>
      </c>
      <c r="E102" s="58" t="s">
        <v>61</v>
      </c>
      <c r="F102" s="9" t="s">
        <v>1499</v>
      </c>
      <c r="G102" s="9" t="s">
        <v>1095</v>
      </c>
      <c r="H102" s="59" t="s">
        <v>1486</v>
      </c>
      <c r="I102" s="57" t="s">
        <v>1487</v>
      </c>
      <c r="J102" s="71" t="s">
        <v>1489</v>
      </c>
      <c r="K102" s="104"/>
      <c r="L102" s="46" t="s">
        <v>671</v>
      </c>
      <c r="M102" s="105"/>
    </row>
    <row r="103" spans="1:13" s="7" customFormat="1" ht="60" customHeight="1" x14ac:dyDescent="0.25">
      <c r="A103" s="97">
        <f>MAX($A$1:A102)+1</f>
        <v>76</v>
      </c>
      <c r="B103" s="57" t="s">
        <v>1115</v>
      </c>
      <c r="C103" s="99" t="str">
        <f xml:space="preserve"> "Diag_0x27_Fun_" &amp; TEXT(A103, "000")</f>
        <v>Diag_0x27_Fun_076</v>
      </c>
      <c r="D103" s="53" t="s">
        <v>1715</v>
      </c>
      <c r="E103" s="58" t="s">
        <v>61</v>
      </c>
      <c r="F103" s="9" t="s">
        <v>1499</v>
      </c>
      <c r="G103" s="9" t="s">
        <v>1095</v>
      </c>
      <c r="H103" s="59" t="s">
        <v>1486</v>
      </c>
      <c r="I103" s="57" t="s">
        <v>1714</v>
      </c>
      <c r="J103" s="122" t="s">
        <v>1712</v>
      </c>
      <c r="K103" s="104"/>
      <c r="L103" s="46"/>
      <c r="M103" s="105"/>
    </row>
    <row r="104" spans="1:13" s="7" customFormat="1" ht="67.2" customHeight="1" x14ac:dyDescent="0.25">
      <c r="A104" s="97">
        <f>MAX($A$1:A103)+1</f>
        <v>77</v>
      </c>
      <c r="B104" s="57" t="s">
        <v>1405</v>
      </c>
      <c r="C104" s="99" t="str">
        <f xml:space="preserve"> "Diag_0x27_Fun_" &amp; TEXT(A104, "000")</f>
        <v>Diag_0x27_Fun_077</v>
      </c>
      <c r="D104" s="53" t="s">
        <v>1488</v>
      </c>
      <c r="E104" s="58" t="s">
        <v>61</v>
      </c>
      <c r="F104" s="9" t="s">
        <v>1499</v>
      </c>
      <c r="G104" s="9" t="s">
        <v>1095</v>
      </c>
      <c r="H104" s="59" t="s">
        <v>983</v>
      </c>
      <c r="I104" s="117" t="s">
        <v>1713</v>
      </c>
      <c r="J104" s="118" t="s">
        <v>1489</v>
      </c>
      <c r="K104" s="106"/>
      <c r="L104" s="46" t="s">
        <v>671</v>
      </c>
      <c r="M104" s="107"/>
    </row>
  </sheetData>
  <mergeCells count="32">
    <mergeCell ref="A69:M69"/>
    <mergeCell ref="A85:M85"/>
    <mergeCell ref="A37:M37"/>
    <mergeCell ref="A42:M42"/>
    <mergeCell ref="A45:M45"/>
    <mergeCell ref="A49:M49"/>
    <mergeCell ref="A50:M50"/>
    <mergeCell ref="A54:M54"/>
    <mergeCell ref="I2:I3"/>
    <mergeCell ref="J2:J3"/>
    <mergeCell ref="A55:M55"/>
    <mergeCell ref="A61:M61"/>
    <mergeCell ref="A63:M63"/>
    <mergeCell ref="A5:M5"/>
    <mergeCell ref="A11:M11"/>
    <mergeCell ref="A13:M13"/>
    <mergeCell ref="A19:M19"/>
    <mergeCell ref="A35:M35"/>
    <mergeCell ref="K2:K3"/>
    <mergeCell ref="L2:L3"/>
    <mergeCell ref="M2:M3"/>
    <mergeCell ref="A4:M4"/>
    <mergeCell ref="A2:A3"/>
    <mergeCell ref="B2:B3"/>
    <mergeCell ref="C2:F2"/>
    <mergeCell ref="G2:G3"/>
    <mergeCell ref="H2:H3"/>
    <mergeCell ref="A88:M88"/>
    <mergeCell ref="A93:M93"/>
    <mergeCell ref="A96:M96"/>
    <mergeCell ref="A100:M100"/>
    <mergeCell ref="A101:M101"/>
  </mergeCells>
  <phoneticPr fontId="4" type="noConversion"/>
  <conditionalFormatting sqref="L5:L45 L48:L55">
    <cfRule type="cellIs" dxfId="91" priority="8" operator="equal">
      <formula>"Fail"</formula>
    </cfRule>
  </conditionalFormatting>
  <conditionalFormatting sqref="L4">
    <cfRule type="cellIs" dxfId="90" priority="7" operator="equal">
      <formula>"Fail"</formula>
    </cfRule>
  </conditionalFormatting>
  <conditionalFormatting sqref="L46">
    <cfRule type="cellIs" dxfId="89" priority="6" operator="equal">
      <formula>"Fail"</formula>
    </cfRule>
  </conditionalFormatting>
  <conditionalFormatting sqref="L47">
    <cfRule type="cellIs" dxfId="88" priority="5" operator="equal">
      <formula>"Fail"</formula>
    </cfRule>
  </conditionalFormatting>
  <conditionalFormatting sqref="L56:L85 L99:L104 L87:L96">
    <cfRule type="cellIs" dxfId="87" priority="4" operator="equal">
      <formula>"Fail"</formula>
    </cfRule>
  </conditionalFormatting>
  <conditionalFormatting sqref="L97">
    <cfRule type="cellIs" dxfId="86" priority="3" operator="equal">
      <formula>"Fail"</formula>
    </cfRule>
  </conditionalFormatting>
  <conditionalFormatting sqref="L98">
    <cfRule type="cellIs" dxfId="85" priority="2" operator="equal">
      <formula>"Fail"</formula>
    </cfRule>
  </conditionalFormatting>
  <conditionalFormatting sqref="L86">
    <cfRule type="cellIs" dxfId="84" priority="1" operator="equal">
      <formula>"Fail"</formula>
    </cfRule>
  </conditionalFormatting>
  <dataValidations count="3">
    <dataValidation type="list" allowBlank="1" showInputMessage="1" showErrorMessage="1" sqref="E12 E6:E10 E14:E18 E51:E53 E36 E38:E41 E43:E44 E46:E48 E20:E34 E62 E56:E60 E64:E68 E102:E104 E86:E87 E89:E92 E94:E95 E97:E99 E70:E84">
      <formula1>"High,Medium,Low"</formula1>
    </dataValidation>
    <dataValidation type="list" allowBlank="1" showInputMessage="1" showErrorMessage="1" sqref="L51:L53 L6:L10 L12 L14:L18 L20:L34 L36 L38:L41 L43:L44 L46:L48 L102:L104 L56:L60 L62 L64:L68 L70:L84 L86:L87 L89:L92 L94:L95 L97:L99">
      <formula1>"Pass,Fail,Not Apply,Block,Skip"</formula1>
    </dataValidation>
    <dataValidation type="list" allowBlank="1" showInputMessage="1" showErrorMessage="1" sqref="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IY4 SU4 ACQ4">
      <formula1>"高High,中Medium,低Low"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8"/>
  <sheetViews>
    <sheetView topLeftCell="A10" zoomScaleNormal="100" workbookViewId="0">
      <selection activeCell="I11" sqref="I11"/>
    </sheetView>
  </sheetViews>
  <sheetFormatPr defaultRowHeight="14.4" outlineLevelRow="1" x14ac:dyDescent="0.25"/>
  <cols>
    <col min="1" max="1" width="12" customWidth="1"/>
    <col min="2" max="2" width="18" customWidth="1"/>
    <col min="3" max="3" width="14.88671875" customWidth="1"/>
    <col min="4" max="4" width="25" customWidth="1"/>
    <col min="5" max="5" width="8" customWidth="1"/>
    <col min="6" max="6" width="10" customWidth="1"/>
    <col min="7" max="7" width="16" customWidth="1"/>
    <col min="8" max="8" width="14" customWidth="1"/>
    <col min="9" max="9" width="43.21875" customWidth="1"/>
    <col min="10"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427</v>
      </c>
      <c r="B4" s="140"/>
      <c r="C4" s="140"/>
      <c r="D4" s="140"/>
      <c r="E4" s="140"/>
      <c r="F4" s="140"/>
      <c r="G4" s="140"/>
      <c r="H4" s="140"/>
      <c r="I4" s="140"/>
      <c r="J4" s="140"/>
      <c r="K4" s="140"/>
      <c r="L4" s="140"/>
      <c r="M4" s="140"/>
      <c r="N4" s="140"/>
      <c r="O4" s="140"/>
      <c r="P4" s="140"/>
    </row>
    <row r="5" spans="1:16" s="120" customFormat="1" ht="16.5" customHeight="1" x14ac:dyDescent="0.25">
      <c r="A5" s="147" t="s">
        <v>1492</v>
      </c>
      <c r="B5" s="148"/>
      <c r="C5" s="148"/>
      <c r="D5" s="148"/>
      <c r="E5" s="148"/>
      <c r="F5" s="148"/>
      <c r="G5" s="148"/>
      <c r="H5" s="148"/>
      <c r="I5" s="148"/>
      <c r="J5" s="148"/>
      <c r="K5" s="148"/>
      <c r="L5" s="148"/>
      <c r="M5" s="149"/>
      <c r="O5" s="123"/>
      <c r="P5" s="123"/>
    </row>
    <row r="6" spans="1:16" s="120" customFormat="1" ht="16.5" customHeight="1" x14ac:dyDescent="0.25">
      <c r="A6" s="147" t="s">
        <v>16</v>
      </c>
      <c r="B6" s="148"/>
      <c r="C6" s="148"/>
      <c r="D6" s="148"/>
      <c r="E6" s="148"/>
      <c r="F6" s="148"/>
      <c r="G6" s="148"/>
      <c r="H6" s="148"/>
      <c r="I6" s="148"/>
      <c r="J6" s="148"/>
      <c r="K6" s="148"/>
      <c r="L6" s="148"/>
      <c r="M6" s="149"/>
      <c r="O6" s="123"/>
      <c r="P6" s="123"/>
    </row>
    <row r="7" spans="1:16" s="126" customFormat="1" ht="39.6" outlineLevel="1" x14ac:dyDescent="0.25">
      <c r="A7" s="56">
        <f>MAX($A$1:A5)+1</f>
        <v>1</v>
      </c>
      <c r="B7" s="57" t="s">
        <v>1752</v>
      </c>
      <c r="C7" s="53" t="str">
        <f t="shared" ref="C7:C14" si="0" xml:space="preserve"> "Diag_0x28_Phy_" &amp; TEXT(A7, "000")</f>
        <v>Diag_0x28_Phy_001</v>
      </c>
      <c r="D7" s="53" t="s">
        <v>428</v>
      </c>
      <c r="E7" s="58" t="s">
        <v>61</v>
      </c>
      <c r="F7" s="9" t="s">
        <v>21</v>
      </c>
      <c r="G7" s="9" t="s">
        <v>1753</v>
      </c>
      <c r="H7" s="59" t="s">
        <v>1716</v>
      </c>
      <c r="I7" s="57" t="s">
        <v>1896</v>
      </c>
      <c r="J7" s="71" t="s">
        <v>1829</v>
      </c>
      <c r="K7" s="104"/>
      <c r="L7" s="46" t="s">
        <v>671</v>
      </c>
      <c r="M7" s="105"/>
      <c r="N7" s="124"/>
      <c r="O7" s="125"/>
      <c r="P7" s="125"/>
    </row>
    <row r="8" spans="1:16" s="126" customFormat="1" ht="39.6" outlineLevel="1" x14ac:dyDescent="0.25">
      <c r="A8" s="56">
        <f>MAX($A$1:A7)+1</f>
        <v>2</v>
      </c>
      <c r="B8" s="57" t="s">
        <v>981</v>
      </c>
      <c r="C8" s="53" t="str">
        <f t="shared" si="0"/>
        <v>Diag_0x28_Phy_002</v>
      </c>
      <c r="D8" s="53" t="s">
        <v>428</v>
      </c>
      <c r="E8" s="58" t="s">
        <v>61</v>
      </c>
      <c r="F8" s="9" t="s">
        <v>21</v>
      </c>
      <c r="G8" s="9" t="s">
        <v>1095</v>
      </c>
      <c r="H8" s="59" t="s">
        <v>1716</v>
      </c>
      <c r="I8" s="57" t="s">
        <v>1897</v>
      </c>
      <c r="J8" s="71" t="s">
        <v>1874</v>
      </c>
      <c r="K8" s="104"/>
      <c r="L8" s="46" t="s">
        <v>671</v>
      </c>
      <c r="M8" s="105"/>
      <c r="N8" s="124"/>
      <c r="O8" s="125"/>
      <c r="P8" s="125"/>
    </row>
    <row r="9" spans="1:16" s="126" customFormat="1" ht="66" outlineLevel="1" x14ac:dyDescent="0.25">
      <c r="A9" s="56">
        <f>MAX($A$1:A8)+1</f>
        <v>3</v>
      </c>
      <c r="B9" s="57" t="s">
        <v>981</v>
      </c>
      <c r="C9" s="53" t="str">
        <f t="shared" si="0"/>
        <v>Diag_0x28_Phy_003</v>
      </c>
      <c r="D9" s="53" t="s">
        <v>1754</v>
      </c>
      <c r="E9" s="58" t="s">
        <v>61</v>
      </c>
      <c r="F9" s="9" t="s">
        <v>21</v>
      </c>
      <c r="G9" s="9" t="s">
        <v>1095</v>
      </c>
      <c r="H9" s="59" t="s">
        <v>1716</v>
      </c>
      <c r="I9" s="57" t="s">
        <v>1898</v>
      </c>
      <c r="J9" s="71" t="s">
        <v>1879</v>
      </c>
      <c r="K9" s="104"/>
      <c r="L9" s="46" t="s">
        <v>671</v>
      </c>
      <c r="M9" s="105"/>
      <c r="N9" s="124"/>
      <c r="O9" s="125"/>
      <c r="P9" s="125"/>
    </row>
    <row r="10" spans="1:16" s="126" customFormat="1" ht="130.80000000000001" customHeight="1" outlineLevel="1" x14ac:dyDescent="0.25">
      <c r="A10" s="56">
        <f>MAX($A$1:A9)+1</f>
        <v>4</v>
      </c>
      <c r="B10" s="57" t="s">
        <v>981</v>
      </c>
      <c r="C10" s="53" t="str">
        <f t="shared" si="0"/>
        <v>Diag_0x28_Phy_004</v>
      </c>
      <c r="D10" s="53" t="s">
        <v>1755</v>
      </c>
      <c r="E10" s="58" t="s">
        <v>61</v>
      </c>
      <c r="F10" s="9" t="s">
        <v>21</v>
      </c>
      <c r="G10" s="9" t="s">
        <v>1095</v>
      </c>
      <c r="H10" s="59" t="s">
        <v>1716</v>
      </c>
      <c r="I10" s="57" t="s">
        <v>1899</v>
      </c>
      <c r="J10" s="71" t="s">
        <v>1875</v>
      </c>
      <c r="K10" s="104"/>
      <c r="L10" s="46" t="s">
        <v>671</v>
      </c>
      <c r="M10" s="105"/>
      <c r="N10" s="124"/>
      <c r="O10" s="125"/>
      <c r="P10" s="125"/>
    </row>
    <row r="11" spans="1:16" s="126" customFormat="1" ht="60" customHeight="1" outlineLevel="1" x14ac:dyDescent="0.25">
      <c r="A11" s="56">
        <f>MAX($A$1:A10)+1</f>
        <v>5</v>
      </c>
      <c r="B11" s="57" t="s">
        <v>981</v>
      </c>
      <c r="C11" s="53" t="str">
        <f t="shared" si="0"/>
        <v>Diag_0x28_Phy_005</v>
      </c>
      <c r="D11" s="53" t="s">
        <v>1756</v>
      </c>
      <c r="E11" s="58" t="s">
        <v>61</v>
      </c>
      <c r="F11" s="9" t="s">
        <v>21</v>
      </c>
      <c r="G11" s="9" t="s">
        <v>1095</v>
      </c>
      <c r="H11" s="59" t="s">
        <v>983</v>
      </c>
      <c r="I11" s="117" t="s">
        <v>1900</v>
      </c>
      <c r="J11" s="127" t="s">
        <v>1876</v>
      </c>
      <c r="K11" s="106"/>
      <c r="L11" s="46" t="s">
        <v>671</v>
      </c>
      <c r="M11" s="107"/>
      <c r="N11" s="124"/>
      <c r="O11" s="125"/>
      <c r="P11" s="125"/>
    </row>
    <row r="12" spans="1:16" s="126" customFormat="1" ht="69.900000000000006" customHeight="1" outlineLevel="1" x14ac:dyDescent="0.25">
      <c r="A12" s="56">
        <f>MAX($A$1:A11)+1</f>
        <v>6</v>
      </c>
      <c r="B12" s="57" t="s">
        <v>1115</v>
      </c>
      <c r="C12" s="53" t="str">
        <f t="shared" si="0"/>
        <v>Diag_0x28_Phy_006</v>
      </c>
      <c r="D12" s="53" t="s">
        <v>1757</v>
      </c>
      <c r="E12" s="58" t="s">
        <v>61</v>
      </c>
      <c r="F12" s="9" t="s">
        <v>21</v>
      </c>
      <c r="G12" s="9" t="s">
        <v>1753</v>
      </c>
      <c r="H12" s="59" t="s">
        <v>983</v>
      </c>
      <c r="I12" s="117" t="s">
        <v>1901</v>
      </c>
      <c r="J12" s="127" t="s">
        <v>1877</v>
      </c>
      <c r="K12" s="106"/>
      <c r="L12" s="46" t="s">
        <v>671</v>
      </c>
      <c r="M12" s="107"/>
      <c r="N12" s="124"/>
      <c r="O12" s="125"/>
      <c r="P12" s="125"/>
    </row>
    <row r="13" spans="1:16" s="126" customFormat="1" ht="60" customHeight="1" outlineLevel="1" x14ac:dyDescent="0.25">
      <c r="A13" s="56">
        <f>MAX($A$1:A12)+1</f>
        <v>7</v>
      </c>
      <c r="B13" s="57" t="s">
        <v>981</v>
      </c>
      <c r="C13" s="53" t="str">
        <f t="shared" si="0"/>
        <v>Diag_0x28_Phy_007</v>
      </c>
      <c r="D13" s="53" t="s">
        <v>1758</v>
      </c>
      <c r="E13" s="58" t="s">
        <v>61</v>
      </c>
      <c r="F13" s="9" t="s">
        <v>21</v>
      </c>
      <c r="G13" s="9" t="s">
        <v>1095</v>
      </c>
      <c r="H13" s="59" t="s">
        <v>983</v>
      </c>
      <c r="I13" s="117" t="s">
        <v>1902</v>
      </c>
      <c r="J13" s="118" t="s">
        <v>1878</v>
      </c>
      <c r="K13" s="106"/>
      <c r="L13" s="46" t="s">
        <v>671</v>
      </c>
      <c r="M13" s="107"/>
      <c r="N13" s="124"/>
      <c r="O13" s="125"/>
      <c r="P13" s="125"/>
    </row>
    <row r="14" spans="1:16" s="126" customFormat="1" ht="60" customHeight="1" outlineLevel="1" x14ac:dyDescent="0.25">
      <c r="A14" s="56">
        <f>MAX($A$1:A13)+1</f>
        <v>8</v>
      </c>
      <c r="B14" s="57" t="s">
        <v>981</v>
      </c>
      <c r="C14" s="53" t="str">
        <f t="shared" si="0"/>
        <v>Diag_0x28_Phy_008</v>
      </c>
      <c r="D14" s="53" t="s">
        <v>1759</v>
      </c>
      <c r="E14" s="58" t="s">
        <v>61</v>
      </c>
      <c r="F14" s="9" t="s">
        <v>21</v>
      </c>
      <c r="G14" s="9" t="s">
        <v>1753</v>
      </c>
      <c r="H14" s="59" t="s">
        <v>983</v>
      </c>
      <c r="I14" s="117" t="s">
        <v>1903</v>
      </c>
      <c r="J14" s="118" t="s">
        <v>1880</v>
      </c>
      <c r="K14" s="106"/>
      <c r="L14" s="46" t="s">
        <v>671</v>
      </c>
      <c r="M14" s="107"/>
      <c r="N14" s="124"/>
      <c r="O14" s="125"/>
      <c r="P14" s="125"/>
    </row>
    <row r="15" spans="1:16" s="126" customFormat="1" ht="69.900000000000006" customHeight="1" outlineLevel="1" x14ac:dyDescent="0.25">
      <c r="A15" s="146" t="s">
        <v>1760</v>
      </c>
      <c r="B15" s="146"/>
      <c r="C15" s="146"/>
      <c r="D15" s="146"/>
      <c r="E15" s="146"/>
      <c r="F15" s="146"/>
      <c r="G15" s="146"/>
      <c r="H15" s="146"/>
      <c r="I15" s="146"/>
      <c r="J15" s="146"/>
      <c r="K15" s="146"/>
      <c r="L15" s="146"/>
      <c r="M15" s="146"/>
      <c r="N15" s="124"/>
      <c r="O15" s="125"/>
      <c r="P15" s="125"/>
    </row>
    <row r="16" spans="1:16" s="128" customFormat="1" ht="98.4" customHeight="1" x14ac:dyDescent="0.25">
      <c r="A16" s="56">
        <f>MAX($A$1:A15)+1</f>
        <v>9</v>
      </c>
      <c r="B16" s="57" t="s">
        <v>1761</v>
      </c>
      <c r="C16" s="53" t="str">
        <f t="shared" ref="C16:C20" si="1" xml:space="preserve"> "Diag_0x28_Phy_" &amp; TEXT(A16, "000")</f>
        <v>Diag_0x28_Phy_009</v>
      </c>
      <c r="D16" s="9" t="s">
        <v>429</v>
      </c>
      <c r="E16" s="58" t="s">
        <v>20</v>
      </c>
      <c r="F16" s="9" t="s">
        <v>21</v>
      </c>
      <c r="G16" s="9" t="s">
        <v>1095</v>
      </c>
      <c r="H16" s="59" t="s">
        <v>983</v>
      </c>
      <c r="I16" s="57" t="s">
        <v>1904</v>
      </c>
      <c r="J16" s="119" t="s">
        <v>1835</v>
      </c>
      <c r="K16" s="104"/>
      <c r="L16" s="46" t="s">
        <v>671</v>
      </c>
      <c r="M16" s="105"/>
    </row>
    <row r="17" spans="1:16" s="126" customFormat="1" ht="105.6" outlineLevel="1" x14ac:dyDescent="0.25">
      <c r="A17" s="56">
        <f>MAX($A$1:A16)+1</f>
        <v>10</v>
      </c>
      <c r="B17" s="57" t="s">
        <v>1752</v>
      </c>
      <c r="C17" s="53" t="str">
        <f t="shared" si="1"/>
        <v>Diag_0x28_Phy_010</v>
      </c>
      <c r="D17" s="9" t="s">
        <v>1762</v>
      </c>
      <c r="E17" s="58" t="s">
        <v>20</v>
      </c>
      <c r="F17" s="9" t="s">
        <v>21</v>
      </c>
      <c r="G17" s="9" t="s">
        <v>1753</v>
      </c>
      <c r="H17" s="59" t="s">
        <v>1763</v>
      </c>
      <c r="I17" s="57" t="s">
        <v>1905</v>
      </c>
      <c r="J17" s="119" t="s">
        <v>1835</v>
      </c>
      <c r="K17" s="106"/>
      <c r="L17" s="46" t="s">
        <v>671</v>
      </c>
      <c r="M17" s="107"/>
      <c r="N17" s="124"/>
      <c r="O17" s="125"/>
      <c r="P17" s="125"/>
    </row>
    <row r="18" spans="1:16" s="126" customFormat="1" ht="92.4" outlineLevel="1" x14ac:dyDescent="0.25">
      <c r="A18" s="56">
        <f>MAX($A$1:A17)+1</f>
        <v>11</v>
      </c>
      <c r="B18" s="57" t="s">
        <v>1752</v>
      </c>
      <c r="C18" s="53" t="str">
        <f t="shared" si="1"/>
        <v>Diag_0x28_Phy_011</v>
      </c>
      <c r="D18" s="9" t="s">
        <v>430</v>
      </c>
      <c r="E18" s="58" t="s">
        <v>20</v>
      </c>
      <c r="F18" s="9" t="s">
        <v>21</v>
      </c>
      <c r="G18" s="9" t="s">
        <v>1753</v>
      </c>
      <c r="H18" s="59" t="s">
        <v>1763</v>
      </c>
      <c r="I18" s="57" t="s">
        <v>1906</v>
      </c>
      <c r="J18" s="129" t="s">
        <v>1881</v>
      </c>
      <c r="K18" s="108"/>
      <c r="L18" s="46" t="s">
        <v>671</v>
      </c>
      <c r="M18" s="109"/>
      <c r="N18" s="124"/>
      <c r="O18" s="125"/>
      <c r="P18" s="125"/>
    </row>
    <row r="19" spans="1:16" s="126" customFormat="1" ht="92.4" outlineLevel="1" x14ac:dyDescent="0.25">
      <c r="A19" s="56">
        <f>MAX($A$1:A18)+1</f>
        <v>12</v>
      </c>
      <c r="B19" s="57" t="s">
        <v>1752</v>
      </c>
      <c r="C19" s="53" t="str">
        <f t="shared" si="1"/>
        <v>Diag_0x28_Phy_012</v>
      </c>
      <c r="D19" s="9" t="s">
        <v>430</v>
      </c>
      <c r="E19" s="58" t="s">
        <v>20</v>
      </c>
      <c r="F19" s="9" t="s">
        <v>21</v>
      </c>
      <c r="G19" s="9" t="s">
        <v>1753</v>
      </c>
      <c r="H19" s="59" t="s">
        <v>1763</v>
      </c>
      <c r="I19" s="57" t="s">
        <v>1907</v>
      </c>
      <c r="J19" s="129" t="s">
        <v>1882</v>
      </c>
      <c r="K19" s="108"/>
      <c r="L19" s="46" t="s">
        <v>671</v>
      </c>
      <c r="M19" s="109"/>
      <c r="N19" s="124"/>
      <c r="O19" s="125"/>
      <c r="P19" s="125"/>
    </row>
    <row r="20" spans="1:16" s="126" customFormat="1" ht="60" customHeight="1" outlineLevel="1" x14ac:dyDescent="0.25">
      <c r="A20" s="56">
        <f>MAX($A$1:A19)+1</f>
        <v>13</v>
      </c>
      <c r="B20" s="57" t="s">
        <v>1752</v>
      </c>
      <c r="C20" s="53" t="str">
        <f t="shared" si="1"/>
        <v>Diag_0x28_Phy_013</v>
      </c>
      <c r="D20" s="9" t="s">
        <v>1764</v>
      </c>
      <c r="E20" s="58" t="s">
        <v>20</v>
      </c>
      <c r="F20" s="9" t="s">
        <v>21</v>
      </c>
      <c r="G20" s="9" t="s">
        <v>1753</v>
      </c>
      <c r="H20" s="59" t="s">
        <v>1763</v>
      </c>
      <c r="I20" s="116" t="s">
        <v>1908</v>
      </c>
      <c r="J20" s="129" t="s">
        <v>1881</v>
      </c>
      <c r="K20" s="108"/>
      <c r="L20" s="46" t="s">
        <v>671</v>
      </c>
      <c r="M20" s="109"/>
      <c r="N20" s="124"/>
      <c r="O20" s="125"/>
      <c r="P20" s="125"/>
    </row>
    <row r="21" spans="1:16" s="126" customFormat="1" ht="69.900000000000006" customHeight="1" outlineLevel="1" x14ac:dyDescent="0.25">
      <c r="A21" s="146" t="s">
        <v>1765</v>
      </c>
      <c r="B21" s="146"/>
      <c r="C21" s="146"/>
      <c r="D21" s="146"/>
      <c r="E21" s="146"/>
      <c r="F21" s="146"/>
      <c r="G21" s="146"/>
      <c r="H21" s="146"/>
      <c r="I21" s="146"/>
      <c r="J21" s="146"/>
      <c r="K21" s="146"/>
      <c r="L21" s="146"/>
      <c r="M21" s="146"/>
      <c r="N21" s="124"/>
      <c r="O21" s="125"/>
      <c r="P21" s="125"/>
    </row>
    <row r="22" spans="1:16" s="126" customFormat="1" ht="66" outlineLevel="1" x14ac:dyDescent="0.25">
      <c r="A22" s="56">
        <f>MAX($A$1:A21)+1</f>
        <v>14</v>
      </c>
      <c r="B22" s="57" t="s">
        <v>1752</v>
      </c>
      <c r="C22" s="53" t="str">
        <f xml:space="preserve"> "Diag_0x28_Phy_" &amp; TEXT(A22, "000")</f>
        <v>Diag_0x28_Phy_014</v>
      </c>
      <c r="D22" s="53" t="s">
        <v>1766</v>
      </c>
      <c r="E22" s="58" t="s">
        <v>55</v>
      </c>
      <c r="F22" s="9" t="s">
        <v>21</v>
      </c>
      <c r="G22" s="9" t="s">
        <v>1753</v>
      </c>
      <c r="H22" s="59" t="s">
        <v>1767</v>
      </c>
      <c r="I22" s="57" t="s">
        <v>1909</v>
      </c>
      <c r="J22" s="71" t="s">
        <v>1830</v>
      </c>
      <c r="K22" s="104"/>
      <c r="L22" s="46" t="s">
        <v>671</v>
      </c>
      <c r="M22" s="105"/>
      <c r="N22" s="124"/>
      <c r="O22" s="125"/>
      <c r="P22" s="125"/>
    </row>
    <row r="23" spans="1:16" s="126" customFormat="1" ht="60" customHeight="1" outlineLevel="1" x14ac:dyDescent="0.25">
      <c r="A23" s="56">
        <f>MAX($A$1:A22)+1</f>
        <v>15</v>
      </c>
      <c r="B23" s="57" t="s">
        <v>1752</v>
      </c>
      <c r="C23" s="53" t="str">
        <f t="shared" ref="C23:C30" si="2" xml:space="preserve"> "Diag_0x28_Phy_" &amp; TEXT(A23, "000")</f>
        <v>Diag_0x28_Phy_015</v>
      </c>
      <c r="D23" s="53" t="s">
        <v>1768</v>
      </c>
      <c r="E23" s="58" t="s">
        <v>55</v>
      </c>
      <c r="F23" s="9" t="s">
        <v>21</v>
      </c>
      <c r="G23" s="9" t="s">
        <v>1753</v>
      </c>
      <c r="H23" s="59" t="s">
        <v>1763</v>
      </c>
      <c r="I23" s="117" t="s">
        <v>1910</v>
      </c>
      <c r="J23" s="118" t="s">
        <v>1885</v>
      </c>
      <c r="K23" s="106"/>
      <c r="L23" s="46" t="s">
        <v>671</v>
      </c>
      <c r="M23" s="107"/>
      <c r="N23" s="124"/>
      <c r="O23" s="125"/>
      <c r="P23" s="125"/>
    </row>
    <row r="24" spans="1:16" s="126" customFormat="1" ht="69.900000000000006" customHeight="1" outlineLevel="1" x14ac:dyDescent="0.25">
      <c r="A24" s="56">
        <f>MAX($A$1:A23)+1</f>
        <v>16</v>
      </c>
      <c r="B24" s="57" t="s">
        <v>1752</v>
      </c>
      <c r="C24" s="53" t="str">
        <f t="shared" si="2"/>
        <v>Diag_0x28_Phy_016</v>
      </c>
      <c r="D24" s="53" t="s">
        <v>1769</v>
      </c>
      <c r="E24" s="58" t="s">
        <v>55</v>
      </c>
      <c r="F24" s="9" t="s">
        <v>21</v>
      </c>
      <c r="G24" s="9" t="s">
        <v>1753</v>
      </c>
      <c r="H24" s="59" t="s">
        <v>1763</v>
      </c>
      <c r="I24" s="117" t="s">
        <v>1911</v>
      </c>
      <c r="J24" s="118" t="s">
        <v>1884</v>
      </c>
      <c r="K24" s="106"/>
      <c r="L24" s="46" t="s">
        <v>671</v>
      </c>
      <c r="M24" s="107"/>
      <c r="N24" s="124"/>
      <c r="O24" s="125"/>
      <c r="P24" s="125"/>
    </row>
    <row r="25" spans="1:16" s="126" customFormat="1" ht="79.2" outlineLevel="1" x14ac:dyDescent="0.25">
      <c r="A25" s="56">
        <f>MAX($A$1:A24)+1</f>
        <v>17</v>
      </c>
      <c r="B25" s="57" t="s">
        <v>1752</v>
      </c>
      <c r="C25" s="53" t="str">
        <f t="shared" si="2"/>
        <v>Diag_0x28_Phy_017</v>
      </c>
      <c r="D25" s="53" t="s">
        <v>1770</v>
      </c>
      <c r="E25" s="58" t="s">
        <v>20</v>
      </c>
      <c r="F25" s="9" t="s">
        <v>21</v>
      </c>
      <c r="G25" s="9" t="s">
        <v>1753</v>
      </c>
      <c r="H25" s="59" t="s">
        <v>1763</v>
      </c>
      <c r="I25" s="117" t="s">
        <v>1912</v>
      </c>
      <c r="J25" s="127" t="s">
        <v>1883</v>
      </c>
      <c r="K25" s="106"/>
      <c r="L25" s="46" t="s">
        <v>671</v>
      </c>
      <c r="M25" s="107"/>
      <c r="N25" s="124"/>
      <c r="O25" s="125"/>
      <c r="P25" s="125"/>
    </row>
    <row r="26" spans="1:16" s="130" customFormat="1" ht="46.2" customHeight="1" x14ac:dyDescent="0.25">
      <c r="A26" s="56">
        <f>MAX($A$1:A25)+1</f>
        <v>18</v>
      </c>
      <c r="B26" s="57" t="s">
        <v>1752</v>
      </c>
      <c r="C26" s="53" t="str">
        <f t="shared" si="2"/>
        <v>Diag_0x28_Phy_018</v>
      </c>
      <c r="D26" s="53" t="s">
        <v>1771</v>
      </c>
      <c r="E26" s="58" t="s">
        <v>55</v>
      </c>
      <c r="F26" s="9" t="s">
        <v>21</v>
      </c>
      <c r="G26" s="9" t="s">
        <v>1753</v>
      </c>
      <c r="H26" s="59" t="s">
        <v>1763</v>
      </c>
      <c r="I26" s="117" t="s">
        <v>1913</v>
      </c>
      <c r="J26" s="127" t="s">
        <v>1836</v>
      </c>
      <c r="K26" s="106"/>
      <c r="L26" s="46" t="s">
        <v>671</v>
      </c>
      <c r="M26" s="107"/>
    </row>
    <row r="27" spans="1:16" s="126" customFormat="1" ht="105.6" outlineLevel="1" x14ac:dyDescent="0.25">
      <c r="A27" s="56">
        <f>MAX($A$1:A26)+1</f>
        <v>19</v>
      </c>
      <c r="B27" s="57" t="s">
        <v>981</v>
      </c>
      <c r="C27" s="53" t="str">
        <f t="shared" si="2"/>
        <v>Diag_0x28_Phy_019</v>
      </c>
      <c r="D27" s="53" t="s">
        <v>1772</v>
      </c>
      <c r="E27" s="58" t="s">
        <v>20</v>
      </c>
      <c r="F27" s="9" t="s">
        <v>21</v>
      </c>
      <c r="G27" s="9" t="s">
        <v>1095</v>
      </c>
      <c r="H27" s="59" t="s">
        <v>983</v>
      </c>
      <c r="I27" s="116" t="s">
        <v>1914</v>
      </c>
      <c r="J27" s="127" t="s">
        <v>1836</v>
      </c>
      <c r="K27" s="108"/>
      <c r="L27" s="46" t="s">
        <v>671</v>
      </c>
      <c r="M27" s="109"/>
      <c r="N27" s="124"/>
      <c r="O27" s="125"/>
      <c r="P27" s="125"/>
    </row>
    <row r="28" spans="1:16" s="126" customFormat="1" ht="79.2" outlineLevel="1" x14ac:dyDescent="0.25">
      <c r="A28" s="56">
        <f>MAX($A$1:A27)+1</f>
        <v>20</v>
      </c>
      <c r="B28" s="57" t="s">
        <v>1752</v>
      </c>
      <c r="C28" s="53" t="str">
        <f t="shared" si="2"/>
        <v>Diag_0x28_Phy_020</v>
      </c>
      <c r="D28" s="53" t="s">
        <v>1773</v>
      </c>
      <c r="E28" s="58" t="s">
        <v>20</v>
      </c>
      <c r="F28" s="9" t="s">
        <v>21</v>
      </c>
      <c r="G28" s="9" t="s">
        <v>1753</v>
      </c>
      <c r="H28" s="59" t="s">
        <v>1763</v>
      </c>
      <c r="I28" s="117" t="s">
        <v>1915</v>
      </c>
      <c r="J28" s="127" t="s">
        <v>1836</v>
      </c>
      <c r="K28" s="106"/>
      <c r="L28" s="46" t="s">
        <v>671</v>
      </c>
      <c r="M28" s="107"/>
      <c r="N28" s="124"/>
      <c r="O28" s="125"/>
      <c r="P28" s="125"/>
    </row>
    <row r="29" spans="1:16" s="126" customFormat="1" ht="79.2" outlineLevel="1" x14ac:dyDescent="0.25">
      <c r="A29" s="56">
        <f>MAX($A$1:A28)+1</f>
        <v>21</v>
      </c>
      <c r="B29" s="57" t="s">
        <v>1752</v>
      </c>
      <c r="C29" s="53" t="str">
        <f t="shared" si="2"/>
        <v>Diag_0x28_Phy_021</v>
      </c>
      <c r="D29" s="53" t="s">
        <v>1774</v>
      </c>
      <c r="E29" s="58" t="s">
        <v>55</v>
      </c>
      <c r="F29" s="9" t="s">
        <v>21</v>
      </c>
      <c r="G29" s="9" t="s">
        <v>1753</v>
      </c>
      <c r="H29" s="59" t="s">
        <v>1763</v>
      </c>
      <c r="I29" s="117" t="s">
        <v>1916</v>
      </c>
      <c r="J29" s="127" t="s">
        <v>1836</v>
      </c>
      <c r="K29" s="106"/>
      <c r="L29" s="46" t="s">
        <v>671</v>
      </c>
      <c r="M29" s="107"/>
      <c r="N29" s="124"/>
      <c r="O29" s="125"/>
      <c r="P29" s="125"/>
    </row>
    <row r="30" spans="1:16" s="126" customFormat="1" ht="105.6" outlineLevel="1" x14ac:dyDescent="0.25">
      <c r="A30" s="56">
        <f>MAX($A$1:A29)+1</f>
        <v>22</v>
      </c>
      <c r="B30" s="57" t="s">
        <v>1752</v>
      </c>
      <c r="C30" s="53" t="str">
        <f t="shared" si="2"/>
        <v>Diag_0x28_Phy_022</v>
      </c>
      <c r="D30" s="9" t="s">
        <v>1775</v>
      </c>
      <c r="E30" s="58" t="s">
        <v>20</v>
      </c>
      <c r="F30" s="9" t="s">
        <v>21</v>
      </c>
      <c r="G30" s="9" t="s">
        <v>1753</v>
      </c>
      <c r="H30" s="59" t="s">
        <v>1763</v>
      </c>
      <c r="I30" s="116" t="s">
        <v>1917</v>
      </c>
      <c r="J30" s="127" t="s">
        <v>1836</v>
      </c>
      <c r="K30" s="106"/>
      <c r="L30" s="46" t="s">
        <v>671</v>
      </c>
      <c r="M30" s="107"/>
      <c r="N30" s="124"/>
      <c r="O30" s="125"/>
      <c r="P30" s="125"/>
    </row>
    <row r="31" spans="1:16" s="130" customFormat="1" ht="16.5" customHeight="1" x14ac:dyDescent="0.25">
      <c r="A31" s="153" t="s">
        <v>1776</v>
      </c>
      <c r="B31" s="153"/>
      <c r="C31" s="153"/>
      <c r="D31" s="153"/>
      <c r="E31" s="153"/>
      <c r="F31" s="153"/>
      <c r="G31" s="153"/>
      <c r="H31" s="153"/>
      <c r="I31" s="153"/>
      <c r="J31" s="153"/>
      <c r="K31" s="153"/>
      <c r="L31" s="153"/>
      <c r="M31" s="153"/>
    </row>
    <row r="32" spans="1:16" s="126" customFormat="1" ht="66" outlineLevel="1" x14ac:dyDescent="0.25">
      <c r="A32" s="56">
        <f>MAX($A$1:A31)+1</f>
        <v>23</v>
      </c>
      <c r="B32" s="57" t="s">
        <v>1752</v>
      </c>
      <c r="C32" s="53" t="str">
        <f xml:space="preserve"> "Diag_0x28_Phy_" &amp; TEXT(A32, "000")</f>
        <v>Diag_0x28_Phy_023</v>
      </c>
      <c r="D32" s="53" t="s">
        <v>1777</v>
      </c>
      <c r="E32" s="58" t="s">
        <v>20</v>
      </c>
      <c r="F32" s="9" t="s">
        <v>21</v>
      </c>
      <c r="G32" s="9" t="s">
        <v>1753</v>
      </c>
      <c r="H32" s="59" t="s">
        <v>1763</v>
      </c>
      <c r="I32" s="57" t="s">
        <v>1918</v>
      </c>
      <c r="J32" s="71" t="s">
        <v>1886</v>
      </c>
      <c r="K32" s="106"/>
      <c r="L32" s="46" t="s">
        <v>671</v>
      </c>
      <c r="M32" s="107"/>
      <c r="N32" s="124"/>
      <c r="O32" s="125"/>
      <c r="P32" s="125"/>
    </row>
    <row r="33" spans="1:16" s="126" customFormat="1" ht="66" outlineLevel="1" x14ac:dyDescent="0.25">
      <c r="A33" s="56">
        <f>MAX($A$1:A32)+1</f>
        <v>24</v>
      </c>
      <c r="B33" s="57" t="s">
        <v>1752</v>
      </c>
      <c r="C33" s="53" t="str">
        <f xml:space="preserve"> "Diag_0x28_Phy_" &amp; TEXT(A33, "000")</f>
        <v>Diag_0x28_Phy_024</v>
      </c>
      <c r="D33" s="53" t="s">
        <v>1777</v>
      </c>
      <c r="E33" s="58" t="s">
        <v>20</v>
      </c>
      <c r="F33" s="9" t="s">
        <v>21</v>
      </c>
      <c r="G33" s="9" t="s">
        <v>1753</v>
      </c>
      <c r="H33" s="59" t="s">
        <v>1763</v>
      </c>
      <c r="I33" s="57" t="s">
        <v>1919</v>
      </c>
      <c r="J33" s="71" t="s">
        <v>1886</v>
      </c>
      <c r="K33" s="106"/>
      <c r="L33" s="46" t="s">
        <v>671</v>
      </c>
      <c r="M33" s="107"/>
      <c r="N33" s="124"/>
      <c r="O33" s="125"/>
      <c r="P33" s="125"/>
    </row>
    <row r="34" spans="1:16" s="126" customFormat="1" ht="66" outlineLevel="1" x14ac:dyDescent="0.25">
      <c r="A34" s="56">
        <f>MAX($A$1:A33)+1</f>
        <v>25</v>
      </c>
      <c r="B34" s="57" t="s">
        <v>1752</v>
      </c>
      <c r="C34" s="53" t="str">
        <f xml:space="preserve"> "Diag_0x28_Phy_" &amp; TEXT(A34, "000")</f>
        <v>Diag_0x28_Phy_025</v>
      </c>
      <c r="D34" s="53" t="s">
        <v>1777</v>
      </c>
      <c r="E34" s="58" t="s">
        <v>20</v>
      </c>
      <c r="F34" s="9" t="s">
        <v>21</v>
      </c>
      <c r="G34" s="9" t="s">
        <v>1753</v>
      </c>
      <c r="H34" s="59" t="s">
        <v>1763</v>
      </c>
      <c r="I34" s="57" t="s">
        <v>1920</v>
      </c>
      <c r="J34" s="71" t="s">
        <v>1887</v>
      </c>
      <c r="K34" s="106"/>
      <c r="L34" s="46" t="s">
        <v>671</v>
      </c>
      <c r="M34" s="107"/>
      <c r="N34" s="124"/>
      <c r="O34" s="125"/>
      <c r="P34" s="125"/>
    </row>
    <row r="35" spans="1:16" s="126" customFormat="1" ht="66" outlineLevel="1" x14ac:dyDescent="0.25">
      <c r="A35" s="56">
        <f>MAX($A$1:A34)+1</f>
        <v>26</v>
      </c>
      <c r="B35" s="57" t="s">
        <v>1752</v>
      </c>
      <c r="C35" s="53" t="str">
        <f xml:space="preserve"> "Diag_0x28_Phy_" &amp; TEXT(A35, "000")</f>
        <v>Diag_0x28_Phy_026</v>
      </c>
      <c r="D35" s="53" t="s">
        <v>1777</v>
      </c>
      <c r="E35" s="58" t="s">
        <v>20</v>
      </c>
      <c r="F35" s="9" t="s">
        <v>21</v>
      </c>
      <c r="G35" s="9" t="s">
        <v>1753</v>
      </c>
      <c r="H35" s="59" t="s">
        <v>1763</v>
      </c>
      <c r="I35" s="57" t="s">
        <v>1921</v>
      </c>
      <c r="J35" s="71" t="s">
        <v>1887</v>
      </c>
      <c r="K35" s="106"/>
      <c r="L35" s="46" t="s">
        <v>671</v>
      </c>
      <c r="M35" s="107"/>
      <c r="N35" s="124"/>
      <c r="O35" s="125"/>
      <c r="P35" s="125"/>
    </row>
    <row r="36" spans="1:16" s="126" customFormat="1" ht="15.6" outlineLevel="1" x14ac:dyDescent="0.25">
      <c r="A36" s="146" t="s">
        <v>1778</v>
      </c>
      <c r="B36" s="146"/>
      <c r="C36" s="146"/>
      <c r="D36" s="146"/>
      <c r="E36" s="146"/>
      <c r="F36" s="146"/>
      <c r="G36" s="146"/>
      <c r="H36" s="146"/>
      <c r="I36" s="146"/>
      <c r="J36" s="146"/>
      <c r="K36" s="146"/>
      <c r="L36" s="146"/>
      <c r="M36" s="146"/>
      <c r="N36" s="124"/>
      <c r="O36" s="125"/>
      <c r="P36" s="125"/>
    </row>
    <row r="37" spans="1:16" s="126" customFormat="1" ht="132" outlineLevel="1" x14ac:dyDescent="0.25">
      <c r="A37" s="56">
        <f>MAX($A$1:A36)+1</f>
        <v>27</v>
      </c>
      <c r="B37" s="57" t="s">
        <v>1752</v>
      </c>
      <c r="C37" s="53" t="str">
        <f xml:space="preserve"> "Diag_0x28_Phy_" &amp; TEXT(A37, "000")</f>
        <v>Diag_0x28_Phy_027</v>
      </c>
      <c r="D37" s="53" t="s">
        <v>1779</v>
      </c>
      <c r="E37" s="58" t="s">
        <v>61</v>
      </c>
      <c r="F37" s="9" t="s">
        <v>21</v>
      </c>
      <c r="G37" s="9" t="s">
        <v>1753</v>
      </c>
      <c r="H37" s="59" t="s">
        <v>1763</v>
      </c>
      <c r="I37" s="57" t="s">
        <v>1922</v>
      </c>
      <c r="J37" s="71" t="s">
        <v>1888</v>
      </c>
      <c r="K37" s="106"/>
      <c r="L37" s="46" t="s">
        <v>671</v>
      </c>
      <c r="M37" s="107"/>
      <c r="N37" s="124"/>
      <c r="O37" s="125"/>
      <c r="P37" s="125"/>
    </row>
    <row r="38" spans="1:16" s="126" customFormat="1" ht="132" outlineLevel="1" x14ac:dyDescent="0.25">
      <c r="A38" s="56">
        <f>MAX($A$1:A37)+1</f>
        <v>28</v>
      </c>
      <c r="B38" s="57" t="s">
        <v>1752</v>
      </c>
      <c r="C38" s="53" t="str">
        <f xml:space="preserve"> "Diag_0x28_Phy_" &amp; TEXT(A38, "000")</f>
        <v>Diag_0x28_Phy_028</v>
      </c>
      <c r="D38" s="53" t="s">
        <v>1779</v>
      </c>
      <c r="E38" s="58" t="s">
        <v>61</v>
      </c>
      <c r="F38" s="9" t="s">
        <v>21</v>
      </c>
      <c r="G38" s="9" t="s">
        <v>1753</v>
      </c>
      <c r="H38" s="59" t="s">
        <v>1763</v>
      </c>
      <c r="I38" s="57" t="s">
        <v>1923</v>
      </c>
      <c r="J38" s="71" t="s">
        <v>1889</v>
      </c>
      <c r="K38" s="106"/>
      <c r="L38" s="46" t="s">
        <v>671</v>
      </c>
      <c r="M38" s="107"/>
      <c r="N38" s="124"/>
      <c r="O38" s="125"/>
      <c r="P38" s="125"/>
    </row>
    <row r="39" spans="1:16" s="126" customFormat="1" ht="118.8" outlineLevel="1" x14ac:dyDescent="0.25">
      <c r="A39" s="56">
        <f>MAX($A$1:A38)+1</f>
        <v>29</v>
      </c>
      <c r="B39" s="57" t="s">
        <v>1752</v>
      </c>
      <c r="C39" s="53" t="str">
        <f t="shared" ref="C39" si="3" xml:space="preserve"> "Diag_0x28_Phy_" &amp; TEXT(A39, "000")</f>
        <v>Diag_0x28_Phy_029</v>
      </c>
      <c r="D39" s="53" t="s">
        <v>1780</v>
      </c>
      <c r="E39" s="58" t="s">
        <v>61</v>
      </c>
      <c r="F39" s="9" t="s">
        <v>21</v>
      </c>
      <c r="G39" s="9" t="s">
        <v>1753</v>
      </c>
      <c r="H39" s="59" t="s">
        <v>1763</v>
      </c>
      <c r="I39" s="57" t="s">
        <v>1924</v>
      </c>
      <c r="J39" s="71" t="s">
        <v>1890</v>
      </c>
      <c r="K39" s="106"/>
      <c r="L39" s="46" t="s">
        <v>671</v>
      </c>
      <c r="M39" s="107"/>
      <c r="N39" s="124"/>
      <c r="O39" s="125"/>
      <c r="P39" s="125"/>
    </row>
    <row r="40" spans="1:16" s="126" customFormat="1" ht="184.8" outlineLevel="1" x14ac:dyDescent="0.25">
      <c r="A40" s="56">
        <f>MAX($A$1:A39)+1</f>
        <v>30</v>
      </c>
      <c r="B40" s="57" t="s">
        <v>1752</v>
      </c>
      <c r="C40" s="53" t="str">
        <f xml:space="preserve"> "Diag_0x28_Phy_" &amp; TEXT(A40, "000")</f>
        <v>Diag_0x28_Phy_030</v>
      </c>
      <c r="D40" s="53" t="s">
        <v>1781</v>
      </c>
      <c r="E40" s="58" t="s">
        <v>61</v>
      </c>
      <c r="F40" s="9" t="s">
        <v>21</v>
      </c>
      <c r="G40" s="9" t="s">
        <v>1753</v>
      </c>
      <c r="H40" s="59" t="s">
        <v>1763</v>
      </c>
      <c r="I40" s="57" t="s">
        <v>1925</v>
      </c>
      <c r="J40" s="71" t="s">
        <v>1891</v>
      </c>
      <c r="K40" s="106"/>
      <c r="L40" s="46" t="s">
        <v>671</v>
      </c>
      <c r="M40" s="107"/>
      <c r="N40" s="124"/>
      <c r="O40" s="125"/>
      <c r="P40" s="125"/>
    </row>
    <row r="41" spans="1:16" s="126" customFormat="1" ht="15.6" outlineLevel="1" x14ac:dyDescent="0.25">
      <c r="A41" s="153" t="s">
        <v>1782</v>
      </c>
      <c r="B41" s="153"/>
      <c r="C41" s="153"/>
      <c r="D41" s="153"/>
      <c r="E41" s="153"/>
      <c r="F41" s="153"/>
      <c r="G41" s="153"/>
      <c r="H41" s="153"/>
      <c r="I41" s="153"/>
      <c r="J41" s="153"/>
      <c r="K41" s="153"/>
      <c r="L41" s="153"/>
      <c r="M41" s="153"/>
      <c r="N41" s="124"/>
      <c r="O41" s="125"/>
      <c r="P41" s="125"/>
    </row>
    <row r="42" spans="1:16" s="133" customFormat="1" ht="48" customHeight="1" x14ac:dyDescent="0.25">
      <c r="A42" s="97">
        <f>MAX($A$1:A41)+1</f>
        <v>31</v>
      </c>
      <c r="B42" s="110" t="s">
        <v>1752</v>
      </c>
      <c r="C42" s="111" t="str">
        <f xml:space="preserve"> "Diag_0x28_Phy_" &amp; TEXT(A42, "000")</f>
        <v>Diag_0x28_Phy_031</v>
      </c>
      <c r="D42" s="113" t="s">
        <v>1783</v>
      </c>
      <c r="E42" s="112" t="s">
        <v>61</v>
      </c>
      <c r="F42" s="113" t="s">
        <v>21</v>
      </c>
      <c r="G42" s="113" t="s">
        <v>1753</v>
      </c>
      <c r="H42" s="114" t="s">
        <v>1763</v>
      </c>
      <c r="I42" s="110" t="s">
        <v>1926</v>
      </c>
      <c r="J42" s="115" t="s">
        <v>1837</v>
      </c>
      <c r="K42" s="131"/>
      <c r="L42" s="46" t="s">
        <v>671</v>
      </c>
      <c r="M42" s="132"/>
    </row>
    <row r="43" spans="1:16" s="126" customFormat="1" ht="66" outlineLevel="1" x14ac:dyDescent="0.25">
      <c r="A43" s="54">
        <f>MAX($A$1:A42)+1</f>
        <v>32</v>
      </c>
      <c r="B43" s="51" t="s">
        <v>1752</v>
      </c>
      <c r="C43" s="53" t="str">
        <f xml:space="preserve"> "Diag_0x28_Phy_" &amp; TEXT(A43, "000")</f>
        <v>Diag_0x28_Phy_032</v>
      </c>
      <c r="D43" s="53" t="s">
        <v>1784</v>
      </c>
      <c r="E43" s="54" t="s">
        <v>61</v>
      </c>
      <c r="F43" s="53" t="s">
        <v>21</v>
      </c>
      <c r="G43" s="53" t="s">
        <v>1753</v>
      </c>
      <c r="H43" s="55" t="s">
        <v>1763</v>
      </c>
      <c r="I43" s="51" t="s">
        <v>1927</v>
      </c>
      <c r="J43" s="52" t="s">
        <v>1837</v>
      </c>
      <c r="K43" s="134"/>
      <c r="L43" s="46" t="s">
        <v>671</v>
      </c>
      <c r="M43" s="134"/>
      <c r="N43" s="124"/>
      <c r="O43" s="125"/>
      <c r="P43" s="125"/>
    </row>
    <row r="44" spans="1:16" s="126" customFormat="1" ht="66" outlineLevel="1" x14ac:dyDescent="0.25">
      <c r="A44" s="56">
        <f>MAX($A$1:A43)+1</f>
        <v>33</v>
      </c>
      <c r="B44" s="57" t="s">
        <v>1752</v>
      </c>
      <c r="C44" s="135" t="str">
        <f t="shared" ref="C44:C45" si="4" xml:space="preserve"> "Diag_0x28_Phy_" &amp; TEXT(A44, "000")</f>
        <v>Diag_0x28_Phy_033</v>
      </c>
      <c r="D44" s="9" t="s">
        <v>1785</v>
      </c>
      <c r="E44" s="58" t="s">
        <v>61</v>
      </c>
      <c r="F44" s="9" t="s">
        <v>21</v>
      </c>
      <c r="G44" s="9" t="s">
        <v>1753</v>
      </c>
      <c r="H44" s="59" t="s">
        <v>1763</v>
      </c>
      <c r="I44" s="57" t="s">
        <v>1928</v>
      </c>
      <c r="J44" s="71" t="s">
        <v>1837</v>
      </c>
      <c r="K44" s="104"/>
      <c r="L44" s="46" t="s">
        <v>671</v>
      </c>
      <c r="M44" s="105"/>
      <c r="N44" s="124"/>
      <c r="O44" s="125"/>
      <c r="P44" s="125"/>
    </row>
    <row r="45" spans="1:16" s="126" customFormat="1" ht="66" outlineLevel="1" x14ac:dyDescent="0.25">
      <c r="A45" s="56">
        <f>MAX($A$1:A44)+1</f>
        <v>34</v>
      </c>
      <c r="B45" s="57" t="s">
        <v>1752</v>
      </c>
      <c r="C45" s="53" t="str">
        <f t="shared" si="4"/>
        <v>Diag_0x28_Phy_034</v>
      </c>
      <c r="D45" s="9" t="s">
        <v>1786</v>
      </c>
      <c r="E45" s="58" t="s">
        <v>61</v>
      </c>
      <c r="F45" s="9" t="s">
        <v>21</v>
      </c>
      <c r="G45" s="9" t="s">
        <v>1753</v>
      </c>
      <c r="H45" s="59" t="s">
        <v>1763</v>
      </c>
      <c r="I45" s="116" t="s">
        <v>1929</v>
      </c>
      <c r="J45" s="136" t="s">
        <v>1837</v>
      </c>
      <c r="K45" s="108"/>
      <c r="L45" s="46" t="s">
        <v>671</v>
      </c>
      <c r="M45" s="109"/>
      <c r="N45" s="124"/>
      <c r="O45" s="125"/>
      <c r="P45" s="125"/>
    </row>
    <row r="46" spans="1:16" s="126" customFormat="1" ht="15.6" outlineLevel="1" x14ac:dyDescent="0.25">
      <c r="A46" s="146" t="s">
        <v>1787</v>
      </c>
      <c r="B46" s="146"/>
      <c r="C46" s="146"/>
      <c r="D46" s="146"/>
      <c r="E46" s="146"/>
      <c r="F46" s="146"/>
      <c r="G46" s="146"/>
      <c r="H46" s="146"/>
      <c r="I46" s="146"/>
      <c r="J46" s="146"/>
      <c r="K46" s="146"/>
      <c r="L46" s="146"/>
      <c r="M46" s="146"/>
      <c r="N46" s="124"/>
      <c r="O46" s="125"/>
      <c r="P46" s="125"/>
    </row>
    <row r="47" spans="1:16" s="133" customFormat="1" ht="84" customHeight="1" x14ac:dyDescent="0.25">
      <c r="A47" s="56">
        <f>MAX($A$1:A46)+1</f>
        <v>35</v>
      </c>
      <c r="B47" s="57" t="s">
        <v>1752</v>
      </c>
      <c r="C47" s="53" t="str">
        <f t="shared" ref="C47:C50" si="5" xml:space="preserve"> "Diag_0x28_Phy_" &amp; TEXT(A47, "000")</f>
        <v>Diag_0x28_Phy_035</v>
      </c>
      <c r="D47" s="10" t="s">
        <v>1788</v>
      </c>
      <c r="E47" s="58" t="s">
        <v>55</v>
      </c>
      <c r="F47" s="9" t="s">
        <v>21</v>
      </c>
      <c r="G47" s="9" t="s">
        <v>1789</v>
      </c>
      <c r="H47" s="59" t="s">
        <v>1763</v>
      </c>
      <c r="I47" s="51" t="s">
        <v>1930</v>
      </c>
      <c r="J47" s="52" t="s">
        <v>1838</v>
      </c>
      <c r="K47" s="134"/>
      <c r="L47" s="46" t="s">
        <v>671</v>
      </c>
      <c r="M47" s="109"/>
    </row>
    <row r="48" spans="1:16" s="126" customFormat="1" ht="86.4" customHeight="1" outlineLevel="1" x14ac:dyDescent="0.25">
      <c r="A48" s="56">
        <f>MAX($A$1:A47)+1</f>
        <v>36</v>
      </c>
      <c r="B48" s="57" t="s">
        <v>1752</v>
      </c>
      <c r="C48" s="53" t="str">
        <f t="shared" si="5"/>
        <v>Diag_0x28_Phy_036</v>
      </c>
      <c r="D48" s="10" t="s">
        <v>1790</v>
      </c>
      <c r="E48" s="58" t="s">
        <v>55</v>
      </c>
      <c r="F48" s="9" t="s">
        <v>21</v>
      </c>
      <c r="G48" s="9" t="s">
        <v>1789</v>
      </c>
      <c r="H48" s="59" t="s">
        <v>1763</v>
      </c>
      <c r="I48" s="57" t="s">
        <v>1931</v>
      </c>
      <c r="J48" s="52" t="s">
        <v>1838</v>
      </c>
      <c r="K48" s="104"/>
      <c r="L48" s="46" t="s">
        <v>671</v>
      </c>
      <c r="M48" s="105"/>
      <c r="N48" s="124"/>
      <c r="O48" s="125"/>
      <c r="P48" s="125"/>
    </row>
    <row r="49" spans="1:16" s="126" customFormat="1" ht="15.6" outlineLevel="1" x14ac:dyDescent="0.25">
      <c r="A49" s="146" t="s">
        <v>1791</v>
      </c>
      <c r="B49" s="146"/>
      <c r="C49" s="146"/>
      <c r="D49" s="146"/>
      <c r="E49" s="146"/>
      <c r="F49" s="146"/>
      <c r="G49" s="146"/>
      <c r="H49" s="146"/>
      <c r="I49" s="146"/>
      <c r="J49" s="146"/>
      <c r="K49" s="146"/>
      <c r="L49" s="146"/>
      <c r="M49" s="146"/>
      <c r="N49" s="124"/>
      <c r="O49" s="125"/>
      <c r="P49" s="125"/>
    </row>
    <row r="50" spans="1:16" s="126" customFormat="1" ht="64.8" customHeight="1" outlineLevel="1" x14ac:dyDescent="0.25">
      <c r="A50" s="56">
        <f>MAX($A$1:A49)+1</f>
        <v>37</v>
      </c>
      <c r="B50" s="57" t="s">
        <v>1752</v>
      </c>
      <c r="C50" s="53" t="str">
        <f t="shared" si="5"/>
        <v>Diag_0x28_Phy_037</v>
      </c>
      <c r="D50" s="9" t="s">
        <v>1792</v>
      </c>
      <c r="E50" s="58" t="s">
        <v>55</v>
      </c>
      <c r="F50" s="9" t="s">
        <v>21</v>
      </c>
      <c r="G50" s="9" t="s">
        <v>1789</v>
      </c>
      <c r="H50" s="59" t="s">
        <v>1763</v>
      </c>
      <c r="I50" s="51" t="s">
        <v>1932</v>
      </c>
      <c r="J50" s="52" t="s">
        <v>1838</v>
      </c>
      <c r="K50" s="134"/>
      <c r="L50" s="46" t="s">
        <v>671</v>
      </c>
      <c r="M50" s="109"/>
      <c r="N50" s="124"/>
      <c r="O50" s="125"/>
      <c r="P50" s="125"/>
    </row>
    <row r="51" spans="1:16" s="126" customFormat="1" ht="15.6" outlineLevel="1" x14ac:dyDescent="0.25">
      <c r="A51" s="146" t="s">
        <v>1793</v>
      </c>
      <c r="B51" s="146"/>
      <c r="C51" s="146"/>
      <c r="D51" s="146"/>
      <c r="E51" s="146"/>
      <c r="F51" s="146"/>
      <c r="G51" s="146"/>
      <c r="H51" s="146"/>
      <c r="I51" s="146"/>
      <c r="J51" s="146"/>
      <c r="K51" s="146"/>
      <c r="L51" s="146"/>
      <c r="M51" s="146"/>
      <c r="N51" s="124"/>
      <c r="O51" s="125"/>
      <c r="P51" s="125"/>
    </row>
    <row r="52" spans="1:16" s="128" customFormat="1" ht="16.5" customHeight="1" x14ac:dyDescent="0.25">
      <c r="A52" s="146" t="s">
        <v>1794</v>
      </c>
      <c r="B52" s="146"/>
      <c r="C52" s="146"/>
      <c r="D52" s="146"/>
      <c r="E52" s="146"/>
      <c r="F52" s="146"/>
      <c r="G52" s="146"/>
      <c r="H52" s="146"/>
      <c r="I52" s="146"/>
      <c r="J52" s="146"/>
      <c r="K52" s="146"/>
      <c r="L52" s="146"/>
      <c r="M52" s="146"/>
    </row>
    <row r="53" spans="1:16" s="126" customFormat="1" ht="39.6" outlineLevel="1" x14ac:dyDescent="0.25">
      <c r="A53" s="56">
        <f>MAX($A$1:A51)+1</f>
        <v>38</v>
      </c>
      <c r="B53" s="57" t="s">
        <v>1752</v>
      </c>
      <c r="C53" s="53" t="str">
        <f t="shared" ref="C53:C60" si="6" xml:space="preserve"> "Diag_0x28_Phy_" &amp; TEXT(A53, "000")</f>
        <v>Diag_0x28_Phy_038</v>
      </c>
      <c r="D53" s="53" t="s">
        <v>428</v>
      </c>
      <c r="E53" s="58" t="s">
        <v>61</v>
      </c>
      <c r="F53" s="9" t="s">
        <v>21</v>
      </c>
      <c r="G53" s="9" t="s">
        <v>1753</v>
      </c>
      <c r="H53" s="59" t="s">
        <v>1767</v>
      </c>
      <c r="I53" s="57" t="s">
        <v>1933</v>
      </c>
      <c r="J53" s="71" t="s">
        <v>1831</v>
      </c>
      <c r="K53" s="104"/>
      <c r="L53" s="46" t="s">
        <v>671</v>
      </c>
      <c r="M53" s="105"/>
      <c r="N53" s="124"/>
      <c r="O53" s="125"/>
      <c r="P53" s="125"/>
    </row>
    <row r="54" spans="1:16" s="126" customFormat="1" ht="39.6" outlineLevel="1" x14ac:dyDescent="0.25">
      <c r="A54" s="56">
        <f>MAX($A$1:A53)+1</f>
        <v>39</v>
      </c>
      <c r="B54" s="57" t="s">
        <v>1752</v>
      </c>
      <c r="C54" s="53" t="str">
        <f t="shared" si="6"/>
        <v>Diag_0x28_Phy_039</v>
      </c>
      <c r="D54" s="53" t="s">
        <v>428</v>
      </c>
      <c r="E54" s="58" t="s">
        <v>61</v>
      </c>
      <c r="F54" s="9" t="s">
        <v>21</v>
      </c>
      <c r="G54" s="9" t="s">
        <v>1753</v>
      </c>
      <c r="H54" s="59" t="s">
        <v>1767</v>
      </c>
      <c r="I54" s="57" t="s">
        <v>1934</v>
      </c>
      <c r="J54" s="71" t="s">
        <v>1831</v>
      </c>
      <c r="K54" s="104"/>
      <c r="L54" s="46" t="s">
        <v>671</v>
      </c>
      <c r="M54" s="105"/>
      <c r="N54" s="124"/>
      <c r="O54" s="125"/>
      <c r="P54" s="125"/>
    </row>
    <row r="55" spans="1:16" s="126" customFormat="1" ht="79.2" outlineLevel="1" x14ac:dyDescent="0.25">
      <c r="A55" s="56">
        <f>MAX($A$1:A54)+1</f>
        <v>40</v>
      </c>
      <c r="B55" s="57" t="s">
        <v>1752</v>
      </c>
      <c r="C55" s="53" t="str">
        <f t="shared" si="6"/>
        <v>Diag_0x28_Phy_040</v>
      </c>
      <c r="D55" s="53" t="s">
        <v>1795</v>
      </c>
      <c r="E55" s="58" t="s">
        <v>61</v>
      </c>
      <c r="F55" s="9" t="s">
        <v>21</v>
      </c>
      <c r="G55" s="9" t="s">
        <v>1753</v>
      </c>
      <c r="H55" s="59" t="s">
        <v>1767</v>
      </c>
      <c r="I55" s="57" t="s">
        <v>1935</v>
      </c>
      <c r="J55" s="71" t="s">
        <v>1839</v>
      </c>
      <c r="K55" s="104"/>
      <c r="L55" s="46" t="s">
        <v>671</v>
      </c>
      <c r="M55" s="105"/>
      <c r="N55" s="124"/>
      <c r="O55" s="125"/>
      <c r="P55" s="125"/>
    </row>
    <row r="56" spans="1:16" s="126" customFormat="1" ht="79.2" outlineLevel="1" x14ac:dyDescent="0.25">
      <c r="A56" s="56">
        <f>MAX($A$1:A55)+1</f>
        <v>41</v>
      </c>
      <c r="B56" s="57" t="s">
        <v>1752</v>
      </c>
      <c r="C56" s="53" t="str">
        <f t="shared" si="6"/>
        <v>Diag_0x28_Phy_041</v>
      </c>
      <c r="D56" s="53" t="s">
        <v>1795</v>
      </c>
      <c r="E56" s="58" t="s">
        <v>61</v>
      </c>
      <c r="F56" s="9" t="s">
        <v>21</v>
      </c>
      <c r="G56" s="9" t="s">
        <v>1753</v>
      </c>
      <c r="H56" s="59" t="s">
        <v>1767</v>
      </c>
      <c r="I56" s="57" t="s">
        <v>1936</v>
      </c>
      <c r="J56" s="71" t="s">
        <v>1839</v>
      </c>
      <c r="K56" s="104"/>
      <c r="L56" s="46" t="s">
        <v>671</v>
      </c>
      <c r="M56" s="105"/>
      <c r="N56" s="124"/>
      <c r="O56" s="125"/>
      <c r="P56" s="125"/>
    </row>
    <row r="57" spans="1:16" s="128" customFormat="1" ht="69" customHeight="1" x14ac:dyDescent="0.25">
      <c r="A57" s="56">
        <f>MAX($A$1:A56)+1</f>
        <v>42</v>
      </c>
      <c r="B57" s="57" t="s">
        <v>1752</v>
      </c>
      <c r="C57" s="53" t="str">
        <f t="shared" si="6"/>
        <v>Diag_0x28_Phy_042</v>
      </c>
      <c r="D57" s="53" t="s">
        <v>1756</v>
      </c>
      <c r="E57" s="58" t="s">
        <v>61</v>
      </c>
      <c r="F57" s="9" t="s">
        <v>21</v>
      </c>
      <c r="G57" s="9" t="s">
        <v>1753</v>
      </c>
      <c r="H57" s="58" t="s">
        <v>1763</v>
      </c>
      <c r="I57" s="117" t="s">
        <v>1937</v>
      </c>
      <c r="J57" s="127" t="s">
        <v>1840</v>
      </c>
      <c r="K57" s="106"/>
      <c r="L57" s="46" t="s">
        <v>671</v>
      </c>
      <c r="M57" s="107"/>
    </row>
    <row r="58" spans="1:16" s="128" customFormat="1" ht="75" customHeight="1" x14ac:dyDescent="0.25">
      <c r="A58" s="56">
        <f>MAX($A$1:A57)+1</f>
        <v>43</v>
      </c>
      <c r="B58" s="57" t="s">
        <v>1752</v>
      </c>
      <c r="C58" s="53" t="str">
        <f t="shared" si="6"/>
        <v>Diag_0x28_Phy_043</v>
      </c>
      <c r="D58" s="53" t="s">
        <v>1796</v>
      </c>
      <c r="E58" s="58" t="s">
        <v>61</v>
      </c>
      <c r="F58" s="9" t="s">
        <v>21</v>
      </c>
      <c r="G58" s="9" t="s">
        <v>1753</v>
      </c>
      <c r="H58" s="59" t="s">
        <v>1763</v>
      </c>
      <c r="I58" s="117" t="s">
        <v>1938</v>
      </c>
      <c r="J58" s="127" t="s">
        <v>1840</v>
      </c>
      <c r="K58" s="106"/>
      <c r="L58" s="46" t="s">
        <v>671</v>
      </c>
      <c r="M58" s="107"/>
    </row>
    <row r="59" spans="1:16" s="126" customFormat="1" ht="39.6" outlineLevel="1" x14ac:dyDescent="0.25">
      <c r="A59" s="56">
        <f>MAX($A$1:A58)+1</f>
        <v>44</v>
      </c>
      <c r="B59" s="57" t="s">
        <v>1752</v>
      </c>
      <c r="C59" s="53" t="str">
        <f t="shared" si="6"/>
        <v>Diag_0x28_Phy_044</v>
      </c>
      <c r="D59" s="53" t="s">
        <v>1797</v>
      </c>
      <c r="E59" s="58" t="s">
        <v>61</v>
      </c>
      <c r="F59" s="9" t="s">
        <v>21</v>
      </c>
      <c r="G59" s="9" t="s">
        <v>1753</v>
      </c>
      <c r="H59" s="59" t="s">
        <v>1763</v>
      </c>
      <c r="I59" s="117" t="s">
        <v>1939</v>
      </c>
      <c r="J59" s="118" t="s">
        <v>1840</v>
      </c>
      <c r="K59" s="106"/>
      <c r="L59" s="46" t="s">
        <v>671</v>
      </c>
      <c r="M59" s="107"/>
      <c r="N59" s="124"/>
      <c r="O59" s="125"/>
      <c r="P59" s="125"/>
    </row>
    <row r="60" spans="1:16" s="126" customFormat="1" ht="39.6" outlineLevel="1" x14ac:dyDescent="0.25">
      <c r="A60" s="56">
        <f>MAX($A$1:A59)+1</f>
        <v>45</v>
      </c>
      <c r="B60" s="57" t="s">
        <v>1752</v>
      </c>
      <c r="C60" s="53" t="str">
        <f t="shared" si="6"/>
        <v>Diag_0x28_Phy_045</v>
      </c>
      <c r="D60" s="53" t="s">
        <v>1759</v>
      </c>
      <c r="E60" s="58" t="s">
        <v>61</v>
      </c>
      <c r="F60" s="9" t="s">
        <v>21</v>
      </c>
      <c r="G60" s="9" t="s">
        <v>1753</v>
      </c>
      <c r="H60" s="59" t="s">
        <v>1763</v>
      </c>
      <c r="I60" s="117" t="s">
        <v>1940</v>
      </c>
      <c r="J60" s="118" t="s">
        <v>1840</v>
      </c>
      <c r="K60" s="106"/>
      <c r="L60" s="46" t="s">
        <v>671</v>
      </c>
      <c r="M60" s="107"/>
      <c r="N60" s="124"/>
      <c r="O60" s="125"/>
      <c r="P60" s="125"/>
    </row>
    <row r="61" spans="1:16" s="126" customFormat="1" ht="15.6" outlineLevel="1" x14ac:dyDescent="0.25">
      <c r="A61" s="146" t="s">
        <v>1798</v>
      </c>
      <c r="B61" s="146"/>
      <c r="C61" s="146"/>
      <c r="D61" s="146"/>
      <c r="E61" s="146"/>
      <c r="F61" s="146"/>
      <c r="G61" s="146"/>
      <c r="H61" s="146"/>
      <c r="I61" s="146"/>
      <c r="J61" s="146"/>
      <c r="K61" s="146"/>
      <c r="L61" s="146"/>
      <c r="M61" s="146"/>
      <c r="N61" s="124"/>
      <c r="O61" s="125"/>
      <c r="P61" s="125"/>
    </row>
    <row r="62" spans="1:16" s="126" customFormat="1" ht="60" customHeight="1" outlineLevel="1" x14ac:dyDescent="0.25">
      <c r="A62" s="56">
        <f>MAX($A$1:A61)+1</f>
        <v>46</v>
      </c>
      <c r="B62" s="57" t="s">
        <v>1752</v>
      </c>
      <c r="C62" s="53" t="str">
        <f t="shared" ref="C62:C66" si="7" xml:space="preserve"> "Diag_0x28_Phy_" &amp; TEXT(A62, "000")</f>
        <v>Diag_0x28_Phy_046</v>
      </c>
      <c r="D62" s="9" t="s">
        <v>429</v>
      </c>
      <c r="E62" s="58" t="s">
        <v>20</v>
      </c>
      <c r="F62" s="9" t="s">
        <v>21</v>
      </c>
      <c r="G62" s="9" t="s">
        <v>1753</v>
      </c>
      <c r="H62" s="59" t="s">
        <v>1763</v>
      </c>
      <c r="I62" s="57" t="s">
        <v>1941</v>
      </c>
      <c r="J62" s="119" t="s">
        <v>1841</v>
      </c>
      <c r="K62" s="104"/>
      <c r="L62" s="46" t="s">
        <v>671</v>
      </c>
      <c r="M62" s="105"/>
      <c r="N62" s="124"/>
      <c r="O62" s="125"/>
      <c r="P62" s="125"/>
    </row>
    <row r="63" spans="1:16" s="126" customFormat="1" ht="60" customHeight="1" outlineLevel="1" x14ac:dyDescent="0.25">
      <c r="A63" s="56">
        <f>MAX($A$1:A62)+1</f>
        <v>47</v>
      </c>
      <c r="B63" s="57" t="s">
        <v>1752</v>
      </c>
      <c r="C63" s="53" t="str">
        <f t="shared" si="7"/>
        <v>Diag_0x28_Phy_047</v>
      </c>
      <c r="D63" s="9" t="s">
        <v>1762</v>
      </c>
      <c r="E63" s="58" t="s">
        <v>20</v>
      </c>
      <c r="F63" s="9" t="s">
        <v>21</v>
      </c>
      <c r="G63" s="9" t="s">
        <v>1753</v>
      </c>
      <c r="H63" s="59" t="s">
        <v>1763</v>
      </c>
      <c r="I63" s="57" t="s">
        <v>1942</v>
      </c>
      <c r="J63" s="119" t="s">
        <v>1841</v>
      </c>
      <c r="K63" s="106"/>
      <c r="L63" s="46" t="s">
        <v>671</v>
      </c>
      <c r="M63" s="107"/>
      <c r="N63" s="124"/>
      <c r="O63" s="125"/>
      <c r="P63" s="125"/>
    </row>
    <row r="64" spans="1:16" s="126" customFormat="1" ht="69.900000000000006" customHeight="1" outlineLevel="1" x14ac:dyDescent="0.25">
      <c r="A64" s="56">
        <f>MAX($A$1:A63)+1</f>
        <v>48</v>
      </c>
      <c r="B64" s="57" t="s">
        <v>1752</v>
      </c>
      <c r="C64" s="53" t="str">
        <f t="shared" si="7"/>
        <v>Diag_0x28_Phy_048</v>
      </c>
      <c r="D64" s="9" t="s">
        <v>430</v>
      </c>
      <c r="E64" s="58" t="s">
        <v>20</v>
      </c>
      <c r="F64" s="9" t="s">
        <v>21</v>
      </c>
      <c r="G64" s="9" t="s">
        <v>1753</v>
      </c>
      <c r="H64" s="59" t="s">
        <v>1763</v>
      </c>
      <c r="I64" s="57" t="s">
        <v>1943</v>
      </c>
      <c r="J64" s="129" t="s">
        <v>1841</v>
      </c>
      <c r="K64" s="108"/>
      <c r="L64" s="46" t="s">
        <v>671</v>
      </c>
      <c r="M64" s="109"/>
      <c r="N64" s="124"/>
      <c r="O64" s="125"/>
      <c r="P64" s="125"/>
    </row>
    <row r="65" spans="1:16" s="126" customFormat="1" ht="60" customHeight="1" outlineLevel="1" x14ac:dyDescent="0.25">
      <c r="A65" s="56">
        <f>MAX($A$1:A64)+1</f>
        <v>49</v>
      </c>
      <c r="B65" s="57" t="s">
        <v>1752</v>
      </c>
      <c r="C65" s="53" t="str">
        <f t="shared" si="7"/>
        <v>Diag_0x28_Phy_049</v>
      </c>
      <c r="D65" s="9" t="s">
        <v>430</v>
      </c>
      <c r="E65" s="58" t="s">
        <v>20</v>
      </c>
      <c r="F65" s="9" t="s">
        <v>21</v>
      </c>
      <c r="G65" s="9" t="s">
        <v>1753</v>
      </c>
      <c r="H65" s="59" t="s">
        <v>1763</v>
      </c>
      <c r="I65" s="57" t="s">
        <v>1944</v>
      </c>
      <c r="J65" s="129" t="s">
        <v>1841</v>
      </c>
      <c r="K65" s="108"/>
      <c r="L65" s="46" t="s">
        <v>671</v>
      </c>
      <c r="M65" s="109"/>
      <c r="N65" s="124"/>
      <c r="O65" s="125"/>
      <c r="P65" s="125"/>
    </row>
    <row r="66" spans="1:16" s="126" customFormat="1" ht="60" customHeight="1" outlineLevel="1" x14ac:dyDescent="0.25">
      <c r="A66" s="56">
        <f>MAX($A$1:A65)+1</f>
        <v>50</v>
      </c>
      <c r="B66" s="57" t="s">
        <v>1752</v>
      </c>
      <c r="C66" s="53" t="str">
        <f t="shared" si="7"/>
        <v>Diag_0x28_Phy_050</v>
      </c>
      <c r="D66" s="9" t="s">
        <v>1764</v>
      </c>
      <c r="E66" s="58" t="s">
        <v>20</v>
      </c>
      <c r="F66" s="9" t="s">
        <v>21</v>
      </c>
      <c r="G66" s="9" t="s">
        <v>1753</v>
      </c>
      <c r="H66" s="59" t="s">
        <v>1763</v>
      </c>
      <c r="I66" s="116" t="s">
        <v>1945</v>
      </c>
      <c r="J66" s="129" t="s">
        <v>1841</v>
      </c>
      <c r="K66" s="108"/>
      <c r="L66" s="46" t="s">
        <v>671</v>
      </c>
      <c r="M66" s="109"/>
      <c r="N66" s="124"/>
      <c r="O66" s="125"/>
      <c r="P66" s="125"/>
    </row>
    <row r="67" spans="1:16" s="126" customFormat="1" ht="69.900000000000006" customHeight="1" outlineLevel="1" x14ac:dyDescent="0.25">
      <c r="A67" s="146" t="s">
        <v>1799</v>
      </c>
      <c r="B67" s="146"/>
      <c r="C67" s="146"/>
      <c r="D67" s="146"/>
      <c r="E67" s="146"/>
      <c r="F67" s="146"/>
      <c r="G67" s="146"/>
      <c r="H67" s="146"/>
      <c r="I67" s="146"/>
      <c r="J67" s="146"/>
      <c r="K67" s="146"/>
      <c r="L67" s="146"/>
      <c r="M67" s="146"/>
      <c r="N67" s="124"/>
      <c r="O67" s="125"/>
      <c r="P67" s="125"/>
    </row>
    <row r="68" spans="1:16" s="128" customFormat="1" ht="49.8" customHeight="1" x14ac:dyDescent="0.25">
      <c r="A68" s="56">
        <f>MAX($A$1:A67)+1</f>
        <v>51</v>
      </c>
      <c r="B68" s="57" t="s">
        <v>1752</v>
      </c>
      <c r="C68" s="53" t="str">
        <f xml:space="preserve"> "Diag_0x28_Phy_" &amp; TEXT(A68, "000")</f>
        <v>Diag_0x28_Phy_051</v>
      </c>
      <c r="D68" s="53" t="s">
        <v>1766</v>
      </c>
      <c r="E68" s="58" t="s">
        <v>55</v>
      </c>
      <c r="F68" s="9" t="s">
        <v>21</v>
      </c>
      <c r="G68" s="9" t="s">
        <v>1753</v>
      </c>
      <c r="H68" s="59" t="s">
        <v>1767</v>
      </c>
      <c r="I68" s="57" t="s">
        <v>1946</v>
      </c>
      <c r="J68" s="71" t="s">
        <v>1832</v>
      </c>
      <c r="K68" s="104"/>
      <c r="L68" s="46" t="s">
        <v>671</v>
      </c>
      <c r="M68" s="105"/>
    </row>
    <row r="69" spans="1:16" s="126" customFormat="1" ht="52.8" outlineLevel="1" x14ac:dyDescent="0.25">
      <c r="A69" s="56">
        <f>MAX($A$1:A68)+1</f>
        <v>52</v>
      </c>
      <c r="B69" s="57" t="s">
        <v>1752</v>
      </c>
      <c r="C69" s="53" t="str">
        <f t="shared" ref="C69:C76" si="8" xml:space="preserve"> "Diag_0x28_Phy_" &amp; TEXT(A69, "000")</f>
        <v>Diag_0x28_Phy_052</v>
      </c>
      <c r="D69" s="53" t="s">
        <v>1768</v>
      </c>
      <c r="E69" s="58" t="s">
        <v>55</v>
      </c>
      <c r="F69" s="9" t="s">
        <v>21</v>
      </c>
      <c r="G69" s="9" t="s">
        <v>1753</v>
      </c>
      <c r="H69" s="59" t="s">
        <v>1763</v>
      </c>
      <c r="I69" s="117" t="s">
        <v>1947</v>
      </c>
      <c r="J69" s="118" t="s">
        <v>1840</v>
      </c>
      <c r="K69" s="106"/>
      <c r="L69" s="46" t="s">
        <v>671</v>
      </c>
      <c r="M69" s="107"/>
      <c r="N69" s="124"/>
      <c r="O69" s="125"/>
      <c r="P69" s="125"/>
    </row>
    <row r="70" spans="1:16" s="126" customFormat="1" ht="52.8" outlineLevel="1" x14ac:dyDescent="0.25">
      <c r="A70" s="56">
        <f>MAX($A$1:A69)+1</f>
        <v>53</v>
      </c>
      <c r="B70" s="57" t="s">
        <v>1752</v>
      </c>
      <c r="C70" s="53" t="str">
        <f t="shared" si="8"/>
        <v>Diag_0x28_Phy_053</v>
      </c>
      <c r="D70" s="53" t="s">
        <v>1769</v>
      </c>
      <c r="E70" s="58" t="s">
        <v>55</v>
      </c>
      <c r="F70" s="9" t="s">
        <v>21</v>
      </c>
      <c r="G70" s="9" t="s">
        <v>1753</v>
      </c>
      <c r="H70" s="59" t="s">
        <v>1763</v>
      </c>
      <c r="I70" s="117" t="s">
        <v>1948</v>
      </c>
      <c r="J70" s="118" t="s">
        <v>1840</v>
      </c>
      <c r="K70" s="106"/>
      <c r="L70" s="46" t="s">
        <v>671</v>
      </c>
      <c r="M70" s="107"/>
      <c r="N70" s="124"/>
      <c r="O70" s="125"/>
      <c r="P70" s="125"/>
    </row>
    <row r="71" spans="1:16" s="126" customFormat="1" ht="79.2" outlineLevel="1" x14ac:dyDescent="0.25">
      <c r="A71" s="56">
        <f>MAX($A$1:A70)+1</f>
        <v>54</v>
      </c>
      <c r="B71" s="57" t="s">
        <v>1752</v>
      </c>
      <c r="C71" s="53" t="str">
        <f t="shared" si="8"/>
        <v>Diag_0x28_Phy_054</v>
      </c>
      <c r="D71" s="53" t="s">
        <v>1770</v>
      </c>
      <c r="E71" s="58" t="s">
        <v>20</v>
      </c>
      <c r="F71" s="9" t="s">
        <v>21</v>
      </c>
      <c r="G71" s="9" t="s">
        <v>1753</v>
      </c>
      <c r="H71" s="59" t="s">
        <v>1763</v>
      </c>
      <c r="I71" s="117" t="s">
        <v>1949</v>
      </c>
      <c r="J71" s="127" t="s">
        <v>1836</v>
      </c>
      <c r="K71" s="106"/>
      <c r="L71" s="46" t="s">
        <v>671</v>
      </c>
      <c r="M71" s="107"/>
      <c r="N71" s="124"/>
      <c r="O71" s="125"/>
      <c r="P71" s="125"/>
    </row>
    <row r="72" spans="1:16" s="126" customFormat="1" ht="60" customHeight="1" outlineLevel="1" x14ac:dyDescent="0.25">
      <c r="A72" s="56">
        <f>MAX($A$1:A71)+1</f>
        <v>55</v>
      </c>
      <c r="B72" s="57" t="s">
        <v>1752</v>
      </c>
      <c r="C72" s="53" t="str">
        <f t="shared" si="8"/>
        <v>Diag_0x28_Phy_055</v>
      </c>
      <c r="D72" s="53" t="s">
        <v>1771</v>
      </c>
      <c r="E72" s="58" t="s">
        <v>55</v>
      </c>
      <c r="F72" s="9" t="s">
        <v>21</v>
      </c>
      <c r="G72" s="9" t="s">
        <v>1753</v>
      </c>
      <c r="H72" s="59" t="s">
        <v>1763</v>
      </c>
      <c r="I72" s="117" t="s">
        <v>1950</v>
      </c>
      <c r="J72" s="127" t="s">
        <v>1836</v>
      </c>
      <c r="K72" s="106"/>
      <c r="L72" s="46" t="s">
        <v>671</v>
      </c>
      <c r="M72" s="107"/>
      <c r="N72" s="124"/>
      <c r="O72" s="125"/>
      <c r="P72" s="125"/>
    </row>
    <row r="73" spans="1:16" s="126" customFormat="1" ht="69.900000000000006" customHeight="1" outlineLevel="1" x14ac:dyDescent="0.25">
      <c r="A73" s="56">
        <f>MAX($A$1:A72)+1</f>
        <v>56</v>
      </c>
      <c r="B73" s="57" t="s">
        <v>1752</v>
      </c>
      <c r="C73" s="53" t="str">
        <f t="shared" si="8"/>
        <v>Diag_0x28_Phy_056</v>
      </c>
      <c r="D73" s="53" t="s">
        <v>1772</v>
      </c>
      <c r="E73" s="58" t="s">
        <v>20</v>
      </c>
      <c r="F73" s="9" t="s">
        <v>21</v>
      </c>
      <c r="G73" s="9" t="s">
        <v>1753</v>
      </c>
      <c r="H73" s="59" t="s">
        <v>1763</v>
      </c>
      <c r="I73" s="116" t="s">
        <v>1951</v>
      </c>
      <c r="J73" s="127" t="s">
        <v>1836</v>
      </c>
      <c r="K73" s="108"/>
      <c r="L73" s="46" t="s">
        <v>671</v>
      </c>
      <c r="M73" s="109"/>
      <c r="N73" s="124"/>
      <c r="O73" s="125"/>
      <c r="P73" s="125"/>
    </row>
    <row r="74" spans="1:16" s="126" customFormat="1" ht="79.2" outlineLevel="1" x14ac:dyDescent="0.25">
      <c r="A74" s="56">
        <f>MAX($A$1:A73)+1</f>
        <v>57</v>
      </c>
      <c r="B74" s="57" t="s">
        <v>1752</v>
      </c>
      <c r="C74" s="53" t="str">
        <f t="shared" si="8"/>
        <v>Diag_0x28_Phy_057</v>
      </c>
      <c r="D74" s="53" t="s">
        <v>1773</v>
      </c>
      <c r="E74" s="58" t="s">
        <v>20</v>
      </c>
      <c r="F74" s="9" t="s">
        <v>21</v>
      </c>
      <c r="G74" s="9" t="s">
        <v>1753</v>
      </c>
      <c r="H74" s="59" t="s">
        <v>1763</v>
      </c>
      <c r="I74" s="117" t="s">
        <v>1952</v>
      </c>
      <c r="J74" s="127" t="s">
        <v>1836</v>
      </c>
      <c r="K74" s="106"/>
      <c r="L74" s="46" t="s">
        <v>671</v>
      </c>
      <c r="M74" s="107"/>
      <c r="N74" s="124"/>
      <c r="O74" s="125"/>
      <c r="P74" s="125"/>
    </row>
    <row r="75" spans="1:16" s="126" customFormat="1" ht="60" customHeight="1" outlineLevel="1" x14ac:dyDescent="0.25">
      <c r="A75" s="56">
        <f>MAX($A$1:A74)+1</f>
        <v>58</v>
      </c>
      <c r="B75" s="57" t="s">
        <v>1752</v>
      </c>
      <c r="C75" s="53" t="str">
        <f t="shared" si="8"/>
        <v>Diag_0x28_Phy_058</v>
      </c>
      <c r="D75" s="53" t="s">
        <v>1774</v>
      </c>
      <c r="E75" s="58" t="s">
        <v>55</v>
      </c>
      <c r="F75" s="9" t="s">
        <v>21</v>
      </c>
      <c r="G75" s="9" t="s">
        <v>1753</v>
      </c>
      <c r="H75" s="59" t="s">
        <v>1763</v>
      </c>
      <c r="I75" s="117" t="s">
        <v>1953</v>
      </c>
      <c r="J75" s="127" t="s">
        <v>1836</v>
      </c>
      <c r="K75" s="106"/>
      <c r="L75" s="46" t="s">
        <v>671</v>
      </c>
      <c r="M75" s="107"/>
      <c r="N75" s="124"/>
      <c r="O75" s="125"/>
      <c r="P75" s="125"/>
    </row>
    <row r="76" spans="1:16" s="126" customFormat="1" ht="69.900000000000006" customHeight="1" outlineLevel="1" x14ac:dyDescent="0.25">
      <c r="A76" s="56">
        <f>MAX($A$1:A75)+1</f>
        <v>59</v>
      </c>
      <c r="B76" s="57" t="s">
        <v>1752</v>
      </c>
      <c r="C76" s="53" t="str">
        <f t="shared" si="8"/>
        <v>Diag_0x28_Phy_059</v>
      </c>
      <c r="D76" s="9" t="s">
        <v>1775</v>
      </c>
      <c r="E76" s="58" t="s">
        <v>20</v>
      </c>
      <c r="F76" s="9" t="s">
        <v>21</v>
      </c>
      <c r="G76" s="9" t="s">
        <v>1753</v>
      </c>
      <c r="H76" s="59" t="s">
        <v>1763</v>
      </c>
      <c r="I76" s="116" t="s">
        <v>1954</v>
      </c>
      <c r="J76" s="127" t="s">
        <v>1836</v>
      </c>
      <c r="K76" s="106"/>
      <c r="L76" s="46" t="s">
        <v>671</v>
      </c>
      <c r="M76" s="107"/>
      <c r="N76" s="124"/>
      <c r="O76" s="125"/>
      <c r="P76" s="125"/>
    </row>
    <row r="77" spans="1:16" s="126" customFormat="1" ht="15.6" outlineLevel="1" x14ac:dyDescent="0.25">
      <c r="A77" s="153" t="s">
        <v>1800</v>
      </c>
      <c r="B77" s="153"/>
      <c r="C77" s="153"/>
      <c r="D77" s="153"/>
      <c r="E77" s="153"/>
      <c r="F77" s="153"/>
      <c r="G77" s="153"/>
      <c r="H77" s="153"/>
      <c r="I77" s="153"/>
      <c r="J77" s="153"/>
      <c r="K77" s="153"/>
      <c r="L77" s="153"/>
      <c r="M77" s="153"/>
      <c r="N77" s="124"/>
      <c r="O77" s="125"/>
      <c r="P77" s="125"/>
    </row>
    <row r="78" spans="1:16" s="130" customFormat="1" ht="52.8" customHeight="1" x14ac:dyDescent="0.25">
      <c r="A78" s="56">
        <f>MAX($A$1:A77)+1</f>
        <v>60</v>
      </c>
      <c r="B78" s="57" t="s">
        <v>1752</v>
      </c>
      <c r="C78" s="53" t="str">
        <f xml:space="preserve"> "Diag_0x28_Phy_" &amp; TEXT(A78, "000")</f>
        <v>Diag_0x28_Phy_060</v>
      </c>
      <c r="D78" s="53" t="s">
        <v>1777</v>
      </c>
      <c r="E78" s="58" t="s">
        <v>20</v>
      </c>
      <c r="F78" s="9" t="s">
        <v>21</v>
      </c>
      <c r="G78" s="9" t="s">
        <v>1753</v>
      </c>
      <c r="H78" s="59" t="s">
        <v>1763</v>
      </c>
      <c r="I78" s="57" t="s">
        <v>1955</v>
      </c>
      <c r="J78" s="71" t="s">
        <v>1887</v>
      </c>
      <c r="K78" s="106"/>
      <c r="L78" s="46" t="s">
        <v>671</v>
      </c>
      <c r="M78" s="107"/>
    </row>
    <row r="79" spans="1:16" s="126" customFormat="1" ht="66" outlineLevel="1" x14ac:dyDescent="0.25">
      <c r="A79" s="56">
        <f>MAX($A$1:A78)+1</f>
        <v>61</v>
      </c>
      <c r="B79" s="57" t="s">
        <v>1752</v>
      </c>
      <c r="C79" s="53" t="str">
        <f xml:space="preserve"> "Diag_0x28_Phy_" &amp; TEXT(A79, "000")</f>
        <v>Diag_0x28_Phy_061</v>
      </c>
      <c r="D79" s="53" t="s">
        <v>1777</v>
      </c>
      <c r="E79" s="58" t="s">
        <v>20</v>
      </c>
      <c r="F79" s="9" t="s">
        <v>21</v>
      </c>
      <c r="G79" s="9" t="s">
        <v>1753</v>
      </c>
      <c r="H79" s="59" t="s">
        <v>1763</v>
      </c>
      <c r="I79" s="57" t="s">
        <v>1956</v>
      </c>
      <c r="J79" s="71" t="s">
        <v>1887</v>
      </c>
      <c r="K79" s="106"/>
      <c r="L79" s="46" t="s">
        <v>671</v>
      </c>
      <c r="M79" s="107"/>
      <c r="N79" s="124"/>
      <c r="O79" s="125"/>
      <c r="P79" s="125"/>
    </row>
    <row r="80" spans="1:16" s="126" customFormat="1" ht="66" outlineLevel="1" x14ac:dyDescent="0.25">
      <c r="A80" s="56">
        <f>MAX($A$1:A79)+1</f>
        <v>62</v>
      </c>
      <c r="B80" s="57" t="s">
        <v>981</v>
      </c>
      <c r="C80" s="53" t="str">
        <f xml:space="preserve"> "Diag_0x28_Phy_" &amp; TEXT(A80, "000")</f>
        <v>Diag_0x28_Phy_062</v>
      </c>
      <c r="D80" s="53" t="s">
        <v>1777</v>
      </c>
      <c r="E80" s="58" t="s">
        <v>20</v>
      </c>
      <c r="F80" s="9" t="s">
        <v>21</v>
      </c>
      <c r="G80" s="9" t="s">
        <v>1095</v>
      </c>
      <c r="H80" s="59" t="s">
        <v>983</v>
      </c>
      <c r="I80" s="57" t="s">
        <v>1957</v>
      </c>
      <c r="J80" s="71" t="s">
        <v>1887</v>
      </c>
      <c r="K80" s="106"/>
      <c r="L80" s="46" t="s">
        <v>671</v>
      </c>
      <c r="M80" s="107"/>
      <c r="N80" s="124"/>
      <c r="O80" s="125"/>
      <c r="P80" s="125"/>
    </row>
    <row r="81" spans="1:16" s="126" customFormat="1" ht="66" outlineLevel="1" x14ac:dyDescent="0.25">
      <c r="A81" s="56">
        <f>MAX($A$1:A80)+1</f>
        <v>63</v>
      </c>
      <c r="B81" s="57" t="s">
        <v>1801</v>
      </c>
      <c r="C81" s="53" t="str">
        <f xml:space="preserve"> "Diag_0x28_Phy_" &amp; TEXT(A81, "000")</f>
        <v>Diag_0x28_Phy_063</v>
      </c>
      <c r="D81" s="53" t="s">
        <v>1777</v>
      </c>
      <c r="E81" s="58" t="s">
        <v>20</v>
      </c>
      <c r="F81" s="9" t="s">
        <v>21</v>
      </c>
      <c r="G81" s="9" t="s">
        <v>1802</v>
      </c>
      <c r="H81" s="59" t="s">
        <v>1803</v>
      </c>
      <c r="I81" s="57" t="s">
        <v>1958</v>
      </c>
      <c r="J81" s="71" t="s">
        <v>1887</v>
      </c>
      <c r="K81" s="106"/>
      <c r="L81" s="46" t="s">
        <v>671</v>
      </c>
      <c r="M81" s="107"/>
      <c r="N81" s="124"/>
      <c r="O81" s="125"/>
      <c r="P81" s="125"/>
    </row>
    <row r="82" spans="1:16" s="126" customFormat="1" ht="15.6" outlineLevel="1" x14ac:dyDescent="0.25">
      <c r="A82" s="146" t="s">
        <v>1804</v>
      </c>
      <c r="B82" s="146"/>
      <c r="C82" s="146"/>
      <c r="D82" s="146"/>
      <c r="E82" s="146"/>
      <c r="F82" s="146"/>
      <c r="G82" s="146"/>
      <c r="H82" s="146"/>
      <c r="I82" s="146"/>
      <c r="J82" s="146"/>
      <c r="K82" s="146"/>
      <c r="L82" s="146"/>
      <c r="M82" s="146"/>
      <c r="N82" s="124"/>
      <c r="O82" s="125"/>
      <c r="P82" s="125"/>
    </row>
    <row r="83" spans="1:16" s="130" customFormat="1" ht="132" x14ac:dyDescent="0.25">
      <c r="A83" s="56">
        <f>MAX($A$1:A82)+1</f>
        <v>64</v>
      </c>
      <c r="B83" s="57" t="s">
        <v>1108</v>
      </c>
      <c r="C83" s="53" t="str">
        <f t="shared" ref="C83:C85" si="9" xml:space="preserve"> "Diag_0x28_Phy_" &amp; TEXT(A83, "000")</f>
        <v>Diag_0x28_Phy_064</v>
      </c>
      <c r="D83" s="53" t="s">
        <v>1779</v>
      </c>
      <c r="E83" s="58" t="s">
        <v>61</v>
      </c>
      <c r="F83" s="9" t="s">
        <v>21</v>
      </c>
      <c r="G83" s="9" t="s">
        <v>1753</v>
      </c>
      <c r="H83" s="59" t="s">
        <v>1110</v>
      </c>
      <c r="I83" s="57" t="s">
        <v>1959</v>
      </c>
      <c r="J83" s="71" t="s">
        <v>1892</v>
      </c>
      <c r="K83" s="106"/>
      <c r="L83" s="46" t="s">
        <v>671</v>
      </c>
      <c r="M83" s="107"/>
    </row>
    <row r="84" spans="1:16" s="126" customFormat="1" ht="132" outlineLevel="1" x14ac:dyDescent="0.25">
      <c r="A84" s="56">
        <f>MAX($A$1:A83)+1</f>
        <v>65</v>
      </c>
      <c r="B84" s="57" t="s">
        <v>1801</v>
      </c>
      <c r="C84" s="53" t="str">
        <f t="shared" si="9"/>
        <v>Diag_0x28_Phy_065</v>
      </c>
      <c r="D84" s="53" t="s">
        <v>1779</v>
      </c>
      <c r="E84" s="58" t="s">
        <v>61</v>
      </c>
      <c r="F84" s="9" t="s">
        <v>21</v>
      </c>
      <c r="G84" s="9" t="s">
        <v>1802</v>
      </c>
      <c r="H84" s="59" t="s">
        <v>1803</v>
      </c>
      <c r="I84" s="57" t="s">
        <v>1971</v>
      </c>
      <c r="J84" s="71" t="s">
        <v>1893</v>
      </c>
      <c r="K84" s="106"/>
      <c r="L84" s="46" t="s">
        <v>671</v>
      </c>
      <c r="M84" s="107"/>
      <c r="N84" s="124"/>
      <c r="O84" s="125"/>
      <c r="P84" s="125"/>
    </row>
    <row r="85" spans="1:16" s="126" customFormat="1" ht="132" outlineLevel="1" x14ac:dyDescent="0.25">
      <c r="A85" s="56">
        <f>MAX($A$1:A84)+1</f>
        <v>66</v>
      </c>
      <c r="B85" s="57" t="s">
        <v>1752</v>
      </c>
      <c r="C85" s="53" t="str">
        <f t="shared" si="9"/>
        <v>Diag_0x28_Phy_066</v>
      </c>
      <c r="D85" s="53" t="s">
        <v>1805</v>
      </c>
      <c r="E85" s="58" t="s">
        <v>61</v>
      </c>
      <c r="F85" s="9" t="s">
        <v>21</v>
      </c>
      <c r="G85" s="9" t="s">
        <v>1753</v>
      </c>
      <c r="H85" s="59" t="s">
        <v>1806</v>
      </c>
      <c r="I85" s="57" t="s">
        <v>1960</v>
      </c>
      <c r="J85" s="71" t="s">
        <v>1894</v>
      </c>
      <c r="K85" s="106"/>
      <c r="L85" s="46" t="s">
        <v>671</v>
      </c>
      <c r="M85" s="107"/>
      <c r="N85" s="124"/>
      <c r="O85" s="125"/>
      <c r="P85" s="125"/>
    </row>
    <row r="86" spans="1:16" s="126" customFormat="1" ht="184.8" outlineLevel="1" x14ac:dyDescent="0.25">
      <c r="A86" s="56">
        <f>MAX($A$1:A85)+1</f>
        <v>67</v>
      </c>
      <c r="B86" s="57" t="s">
        <v>981</v>
      </c>
      <c r="C86" s="53" t="str">
        <f xml:space="preserve"> "Diag_0x28_Phy_" &amp; TEXT(A86, "000")</f>
        <v>Diag_0x28_Phy_067</v>
      </c>
      <c r="D86" s="53" t="s">
        <v>1807</v>
      </c>
      <c r="E86" s="58" t="s">
        <v>61</v>
      </c>
      <c r="F86" s="9" t="s">
        <v>21</v>
      </c>
      <c r="G86" s="9" t="s">
        <v>1114</v>
      </c>
      <c r="H86" s="59" t="s">
        <v>1763</v>
      </c>
      <c r="I86" s="57" t="s">
        <v>1961</v>
      </c>
      <c r="J86" s="71" t="s">
        <v>1895</v>
      </c>
      <c r="K86" s="106"/>
      <c r="L86" s="46" t="s">
        <v>671</v>
      </c>
      <c r="M86" s="107"/>
      <c r="N86" s="124"/>
      <c r="O86" s="125"/>
      <c r="P86" s="125"/>
    </row>
    <row r="87" spans="1:16" s="126" customFormat="1" ht="15.6" outlineLevel="1" x14ac:dyDescent="0.25">
      <c r="A87" s="153" t="s">
        <v>1808</v>
      </c>
      <c r="B87" s="153"/>
      <c r="C87" s="153"/>
      <c r="D87" s="153"/>
      <c r="E87" s="153"/>
      <c r="F87" s="153"/>
      <c r="G87" s="153"/>
      <c r="H87" s="153"/>
      <c r="I87" s="153"/>
      <c r="J87" s="153"/>
      <c r="K87" s="153"/>
      <c r="L87" s="153"/>
      <c r="M87" s="153"/>
      <c r="N87" s="124"/>
      <c r="O87" s="125"/>
      <c r="P87" s="125"/>
    </row>
    <row r="88" spans="1:16" s="126" customFormat="1" ht="79.2" outlineLevel="1" x14ac:dyDescent="0.25">
      <c r="A88" s="97">
        <f>MAX($A$1:A87)+1</f>
        <v>68</v>
      </c>
      <c r="B88" s="110" t="s">
        <v>1761</v>
      </c>
      <c r="C88" s="53" t="str">
        <f xml:space="preserve"> "Diag_0x28_Fun_" &amp; TEXT(A88, "000")</f>
        <v>Diag_0x28_Fun_068</v>
      </c>
      <c r="D88" s="113" t="s">
        <v>1809</v>
      </c>
      <c r="E88" s="112" t="s">
        <v>61</v>
      </c>
      <c r="F88" s="113" t="s">
        <v>21</v>
      </c>
      <c r="G88" s="113" t="s">
        <v>1095</v>
      </c>
      <c r="H88" s="114" t="s">
        <v>1763</v>
      </c>
      <c r="I88" s="110" t="s">
        <v>1962</v>
      </c>
      <c r="J88" s="115" t="s">
        <v>1837</v>
      </c>
      <c r="K88" s="131"/>
      <c r="L88" s="46" t="s">
        <v>671</v>
      </c>
      <c r="M88" s="132"/>
      <c r="N88" s="124"/>
      <c r="O88" s="125"/>
      <c r="P88" s="125"/>
    </row>
    <row r="89" spans="1:16" s="126" customFormat="1" ht="79.2" outlineLevel="1" x14ac:dyDescent="0.25">
      <c r="A89" s="54">
        <f>MAX($A$1:A88)+1</f>
        <v>69</v>
      </c>
      <c r="B89" s="51" t="s">
        <v>1752</v>
      </c>
      <c r="C89" s="53" t="str">
        <f xml:space="preserve"> "Diag_0x28_Fun_" &amp; TEXT(A89, "000")</f>
        <v>Diag_0x28_Fun_069</v>
      </c>
      <c r="D89" s="53" t="s">
        <v>1810</v>
      </c>
      <c r="E89" s="54" t="s">
        <v>61</v>
      </c>
      <c r="F89" s="53" t="s">
        <v>21</v>
      </c>
      <c r="G89" s="53" t="s">
        <v>1095</v>
      </c>
      <c r="H89" s="55" t="s">
        <v>1806</v>
      </c>
      <c r="I89" s="51" t="s">
        <v>1963</v>
      </c>
      <c r="J89" s="52" t="s">
        <v>1837</v>
      </c>
      <c r="K89" s="134"/>
      <c r="L89" s="46" t="s">
        <v>671</v>
      </c>
      <c r="M89" s="134"/>
      <c r="N89" s="124"/>
      <c r="O89" s="125"/>
      <c r="P89" s="125"/>
    </row>
    <row r="90" spans="1:16" s="126" customFormat="1" ht="79.2" outlineLevel="1" x14ac:dyDescent="0.25">
      <c r="A90" s="56">
        <f>MAX($A$1:A89)+1</f>
        <v>70</v>
      </c>
      <c r="B90" s="57" t="s">
        <v>981</v>
      </c>
      <c r="C90" s="53" t="str">
        <f xml:space="preserve"> "Diag_0x28_Fun_" &amp; TEXT(A90, "000")</f>
        <v>Diag_0x28_Fun_070</v>
      </c>
      <c r="D90" s="9" t="s">
        <v>1811</v>
      </c>
      <c r="E90" s="58" t="s">
        <v>61</v>
      </c>
      <c r="F90" s="9" t="s">
        <v>21</v>
      </c>
      <c r="G90" s="9" t="s">
        <v>1753</v>
      </c>
      <c r="H90" s="59" t="s">
        <v>983</v>
      </c>
      <c r="I90" s="57" t="s">
        <v>1964</v>
      </c>
      <c r="J90" s="71" t="s">
        <v>1837</v>
      </c>
      <c r="K90" s="104"/>
      <c r="L90" s="46" t="s">
        <v>671</v>
      </c>
      <c r="M90" s="105"/>
      <c r="N90" s="124"/>
      <c r="O90" s="125"/>
      <c r="P90" s="125"/>
    </row>
    <row r="91" spans="1:16" s="126" customFormat="1" ht="79.2" outlineLevel="1" x14ac:dyDescent="0.25">
      <c r="A91" s="56">
        <f>MAX($A$1:A90)+1</f>
        <v>71</v>
      </c>
      <c r="B91" s="57" t="s">
        <v>981</v>
      </c>
      <c r="C91" s="53" t="str">
        <f xml:space="preserve"> "Diag_0x28_Fun_" &amp; TEXT(A91, "000")</f>
        <v>Diag_0x28_Fun_071</v>
      </c>
      <c r="D91" s="9" t="s">
        <v>1812</v>
      </c>
      <c r="E91" s="58" t="s">
        <v>61</v>
      </c>
      <c r="F91" s="9" t="s">
        <v>21</v>
      </c>
      <c r="G91" s="9" t="s">
        <v>1802</v>
      </c>
      <c r="H91" s="59" t="s">
        <v>983</v>
      </c>
      <c r="I91" s="116" t="s">
        <v>1965</v>
      </c>
      <c r="J91" s="136" t="s">
        <v>1837</v>
      </c>
      <c r="K91" s="108"/>
      <c r="L91" s="46" t="s">
        <v>671</v>
      </c>
      <c r="M91" s="109"/>
      <c r="N91" s="124"/>
      <c r="O91" s="125"/>
      <c r="P91" s="125"/>
    </row>
    <row r="92" spans="1:16" s="126" customFormat="1" ht="15.6" outlineLevel="1" x14ac:dyDescent="0.25">
      <c r="A92" s="146" t="s">
        <v>1813</v>
      </c>
      <c r="B92" s="146"/>
      <c r="C92" s="146"/>
      <c r="D92" s="146"/>
      <c r="E92" s="146"/>
      <c r="F92" s="146"/>
      <c r="G92" s="146"/>
      <c r="H92" s="146"/>
      <c r="I92" s="146"/>
      <c r="J92" s="146"/>
      <c r="K92" s="146"/>
      <c r="L92" s="146"/>
      <c r="M92" s="146"/>
      <c r="N92" s="124"/>
      <c r="O92" s="125"/>
      <c r="P92" s="125"/>
    </row>
    <row r="93" spans="1:16" s="126" customFormat="1" ht="67.8" customHeight="1" outlineLevel="1" x14ac:dyDescent="0.25">
      <c r="A93" s="56">
        <f>MAX($A$1:A92)+1</f>
        <v>72</v>
      </c>
      <c r="B93" s="57" t="s">
        <v>1761</v>
      </c>
      <c r="C93" s="53" t="str">
        <f xml:space="preserve"> "Diag_0x28_Fun_" &amp; TEXT(A93, "000")</f>
        <v>Diag_0x28_Fun_072</v>
      </c>
      <c r="D93" s="10" t="s">
        <v>1788</v>
      </c>
      <c r="E93" s="58" t="s">
        <v>55</v>
      </c>
      <c r="F93" s="9" t="s">
        <v>21</v>
      </c>
      <c r="G93" s="9" t="s">
        <v>1789</v>
      </c>
      <c r="H93" s="59" t="s">
        <v>1763</v>
      </c>
      <c r="I93" s="51" t="s">
        <v>1966</v>
      </c>
      <c r="J93" s="52" t="s">
        <v>1836</v>
      </c>
      <c r="K93" s="134"/>
      <c r="L93" s="46" t="s">
        <v>671</v>
      </c>
      <c r="M93" s="134"/>
      <c r="N93" s="124"/>
      <c r="O93" s="125"/>
      <c r="P93" s="125"/>
    </row>
    <row r="94" spans="1:16" s="133" customFormat="1" ht="67.8" customHeight="1" x14ac:dyDescent="0.25">
      <c r="A94" s="56">
        <f>MAX($A$1:A93)+1</f>
        <v>73</v>
      </c>
      <c r="B94" s="57" t="s">
        <v>1752</v>
      </c>
      <c r="C94" s="53" t="str">
        <f xml:space="preserve"> "Diag_0x28_Fun_" &amp; TEXT(A94, "000")</f>
        <v>Diag_0x28_Fun_073</v>
      </c>
      <c r="D94" s="10" t="s">
        <v>1814</v>
      </c>
      <c r="E94" s="58" t="s">
        <v>55</v>
      </c>
      <c r="F94" s="9" t="s">
        <v>21</v>
      </c>
      <c r="G94" s="9" t="s">
        <v>982</v>
      </c>
      <c r="H94" s="59" t="s">
        <v>1763</v>
      </c>
      <c r="I94" s="110" t="s">
        <v>1967</v>
      </c>
      <c r="J94" s="52" t="s">
        <v>1836</v>
      </c>
      <c r="K94" s="131"/>
      <c r="L94" s="46" t="s">
        <v>671</v>
      </c>
      <c r="M94" s="132"/>
    </row>
    <row r="95" spans="1:16" s="126" customFormat="1" ht="15.6" outlineLevel="1" x14ac:dyDescent="0.25">
      <c r="A95" s="146" t="s">
        <v>1815</v>
      </c>
      <c r="B95" s="146"/>
      <c r="C95" s="146"/>
      <c r="D95" s="146"/>
      <c r="E95" s="146"/>
      <c r="F95" s="146"/>
      <c r="G95" s="146"/>
      <c r="H95" s="146"/>
      <c r="I95" s="146"/>
      <c r="J95" s="146"/>
      <c r="K95" s="146"/>
      <c r="L95" s="146"/>
      <c r="M95" s="146"/>
      <c r="N95" s="124"/>
      <c r="O95" s="125"/>
      <c r="P95" s="125"/>
    </row>
    <row r="96" spans="1:16" s="126" customFormat="1" ht="39.6" outlineLevel="1" x14ac:dyDescent="0.25">
      <c r="A96" s="56">
        <f>MAX($A$1:A95)+1</f>
        <v>74</v>
      </c>
      <c r="B96" s="57" t="s">
        <v>1761</v>
      </c>
      <c r="C96" s="53" t="str">
        <f xml:space="preserve"> "Diag_0x28_Fun_" &amp; TEXT(A96, "000")</f>
        <v>Diag_0x28_Fun_074</v>
      </c>
      <c r="D96" s="9" t="s">
        <v>1792</v>
      </c>
      <c r="E96" s="58" t="s">
        <v>55</v>
      </c>
      <c r="F96" s="9" t="s">
        <v>21</v>
      </c>
      <c r="G96" s="9" t="s">
        <v>1789</v>
      </c>
      <c r="H96" s="59" t="s">
        <v>1763</v>
      </c>
      <c r="I96" s="51" t="s">
        <v>1968</v>
      </c>
      <c r="J96" s="52" t="s">
        <v>1836</v>
      </c>
      <c r="K96" s="134"/>
      <c r="L96" s="46" t="s">
        <v>671</v>
      </c>
      <c r="M96" s="109"/>
      <c r="N96" s="124"/>
      <c r="O96" s="125"/>
      <c r="P96" s="125"/>
    </row>
    <row r="97" spans="1:16" s="126" customFormat="1" ht="15.6" outlineLevel="1" x14ac:dyDescent="0.25">
      <c r="A97" s="146" t="s">
        <v>1816</v>
      </c>
      <c r="B97" s="146"/>
      <c r="C97" s="146"/>
      <c r="D97" s="146"/>
      <c r="E97" s="146"/>
      <c r="F97" s="146"/>
      <c r="G97" s="146"/>
      <c r="H97" s="146"/>
      <c r="I97" s="146"/>
      <c r="J97" s="146"/>
      <c r="K97" s="146"/>
      <c r="L97" s="146"/>
      <c r="M97" s="146"/>
      <c r="N97" s="124"/>
      <c r="O97" s="125"/>
      <c r="P97" s="125"/>
    </row>
    <row r="98" spans="1:16" s="126" customFormat="1" ht="15.6" outlineLevel="1" x14ac:dyDescent="0.25">
      <c r="A98" s="146" t="s">
        <v>1817</v>
      </c>
      <c r="B98" s="146"/>
      <c r="C98" s="146"/>
      <c r="D98" s="146"/>
      <c r="E98" s="146"/>
      <c r="F98" s="146"/>
      <c r="G98" s="146"/>
      <c r="H98" s="146"/>
      <c r="I98" s="146"/>
      <c r="J98" s="146"/>
      <c r="K98" s="146"/>
      <c r="L98" s="146"/>
      <c r="M98" s="146"/>
      <c r="N98" s="124"/>
      <c r="O98" s="125"/>
      <c r="P98" s="125"/>
    </row>
    <row r="99" spans="1:16" s="133" customFormat="1" ht="170.4" customHeight="1" x14ac:dyDescent="0.25">
      <c r="A99" s="56">
        <f>MAX($A$1:A97)+1</f>
        <v>75</v>
      </c>
      <c r="B99" s="57" t="s">
        <v>1761</v>
      </c>
      <c r="C99" s="53" t="str">
        <f t="shared" ref="C99" si="10" xml:space="preserve"> "Diag_0x28_Phy_" &amp; TEXT(A99, "000")</f>
        <v>Diag_0x28_Phy_075</v>
      </c>
      <c r="D99" s="53" t="s">
        <v>428</v>
      </c>
      <c r="E99" s="58" t="s">
        <v>61</v>
      </c>
      <c r="F99" s="9" t="s">
        <v>21</v>
      </c>
      <c r="G99" s="9" t="s">
        <v>1802</v>
      </c>
      <c r="H99" s="59" t="s">
        <v>1716</v>
      </c>
      <c r="I99" s="57" t="s">
        <v>1969</v>
      </c>
      <c r="J99" s="71" t="s">
        <v>1830</v>
      </c>
      <c r="K99" s="104"/>
      <c r="L99" s="46" t="s">
        <v>671</v>
      </c>
      <c r="M99" s="105"/>
    </row>
    <row r="100" spans="1:16" s="126" customFormat="1" ht="15.6" outlineLevel="1" x14ac:dyDescent="0.25">
      <c r="A100" s="146" t="s">
        <v>1818</v>
      </c>
      <c r="B100" s="146"/>
      <c r="C100" s="146"/>
      <c r="D100" s="146"/>
      <c r="E100" s="146"/>
      <c r="F100" s="146"/>
      <c r="G100" s="146"/>
      <c r="H100" s="146"/>
      <c r="I100" s="146"/>
      <c r="J100" s="146"/>
      <c r="K100" s="146"/>
      <c r="L100" s="146"/>
      <c r="M100" s="146"/>
      <c r="N100" s="124"/>
      <c r="O100" s="125"/>
      <c r="P100" s="125"/>
    </row>
    <row r="101" spans="1:16" s="126" customFormat="1" ht="15.6" outlineLevel="1" x14ac:dyDescent="0.25">
      <c r="A101" s="146" t="s">
        <v>1819</v>
      </c>
      <c r="B101" s="146"/>
      <c r="C101" s="146"/>
      <c r="D101" s="146"/>
      <c r="E101" s="146"/>
      <c r="F101" s="146"/>
      <c r="G101" s="146"/>
      <c r="H101" s="146"/>
      <c r="I101" s="146"/>
      <c r="J101" s="146"/>
      <c r="K101" s="146"/>
      <c r="L101" s="146"/>
      <c r="M101" s="146"/>
      <c r="N101" s="124"/>
      <c r="O101" s="125"/>
      <c r="P101" s="125"/>
    </row>
    <row r="102" spans="1:16" s="126" customFormat="1" ht="75" customHeight="1" outlineLevel="1" x14ac:dyDescent="0.25">
      <c r="A102" s="56">
        <f>MAX($A$1:A100)+1</f>
        <v>76</v>
      </c>
      <c r="B102" s="57" t="s">
        <v>1752</v>
      </c>
      <c r="C102" s="53" t="str">
        <f t="shared" ref="C102" si="11" xml:space="preserve"> "Diag_0x28_Phy_" &amp; TEXT(A102, "000")</f>
        <v>Diag_0x28_Phy_076</v>
      </c>
      <c r="D102" s="53" t="s">
        <v>428</v>
      </c>
      <c r="E102" s="58" t="s">
        <v>61</v>
      </c>
      <c r="F102" s="9" t="s">
        <v>21</v>
      </c>
      <c r="G102" s="9" t="s">
        <v>1820</v>
      </c>
      <c r="H102" s="59" t="s">
        <v>1716</v>
      </c>
      <c r="I102" s="57" t="s">
        <v>1969</v>
      </c>
      <c r="J102" s="71" t="s">
        <v>1832</v>
      </c>
      <c r="K102" s="104"/>
      <c r="L102" s="46" t="s">
        <v>671</v>
      </c>
      <c r="M102" s="105"/>
      <c r="N102" s="124"/>
      <c r="O102" s="125"/>
      <c r="P102" s="125"/>
    </row>
    <row r="103" spans="1:16" s="126" customFormat="1" ht="79.2" outlineLevel="1" x14ac:dyDescent="0.25">
      <c r="A103" s="56">
        <f>MAX($A$1:A102)+1</f>
        <v>77</v>
      </c>
      <c r="B103" s="57" t="s">
        <v>1761</v>
      </c>
      <c r="C103" s="53" t="str">
        <f xml:space="preserve"> "Diag_0x28_Fun_" &amp; TEXT(A103, "000")</f>
        <v>Diag_0x28_Fun_077</v>
      </c>
      <c r="D103" s="9" t="s">
        <v>1786</v>
      </c>
      <c r="E103" s="58" t="s">
        <v>61</v>
      </c>
      <c r="F103" s="9" t="s">
        <v>21</v>
      </c>
      <c r="G103" s="9" t="s">
        <v>1095</v>
      </c>
      <c r="H103" s="59" t="s">
        <v>1803</v>
      </c>
      <c r="I103" s="116" t="s">
        <v>1970</v>
      </c>
      <c r="J103" s="136" t="s">
        <v>1837</v>
      </c>
      <c r="K103" s="108"/>
      <c r="L103" s="46" t="s">
        <v>671</v>
      </c>
      <c r="M103" s="109"/>
      <c r="N103" s="124"/>
      <c r="O103" s="125"/>
      <c r="P103" s="125"/>
    </row>
    <row r="104" spans="1:16" s="128" customFormat="1" ht="16.5" customHeight="1" x14ac:dyDescent="0.25">
      <c r="A104" s="146" t="s">
        <v>1821</v>
      </c>
      <c r="B104" s="146"/>
      <c r="C104" s="146"/>
      <c r="D104" s="146"/>
      <c r="E104" s="146"/>
      <c r="F104" s="146"/>
      <c r="G104" s="146"/>
      <c r="H104" s="146"/>
      <c r="I104" s="146"/>
      <c r="J104" s="146"/>
      <c r="K104" s="146"/>
      <c r="L104" s="146"/>
      <c r="M104" s="146"/>
    </row>
    <row r="105" spans="1:16" s="126" customFormat="1" ht="39.6" outlineLevel="1" x14ac:dyDescent="0.25">
      <c r="A105" s="56">
        <f>MAX($A$1:A103)+1</f>
        <v>78</v>
      </c>
      <c r="B105" s="57" t="s">
        <v>1752</v>
      </c>
      <c r="C105" s="53" t="str">
        <f xml:space="preserve"> "Diag_0x28_Fun_" &amp; TEXT(A105, "000")</f>
        <v>Diag_0x28_Fun_078</v>
      </c>
      <c r="D105" s="9" t="s">
        <v>1822</v>
      </c>
      <c r="E105" s="58" t="s">
        <v>55</v>
      </c>
      <c r="F105" s="9" t="s">
        <v>21</v>
      </c>
      <c r="G105" s="9" t="s">
        <v>1753</v>
      </c>
      <c r="H105" s="59" t="s">
        <v>983</v>
      </c>
      <c r="I105" s="57" t="s">
        <v>1872</v>
      </c>
      <c r="J105" s="71" t="s">
        <v>1823</v>
      </c>
      <c r="K105" s="104"/>
      <c r="L105" s="46" t="s">
        <v>671</v>
      </c>
      <c r="M105" s="105"/>
      <c r="N105" s="124"/>
      <c r="O105" s="125"/>
      <c r="P105" s="125"/>
    </row>
    <row r="106" spans="1:16" s="126" customFormat="1" ht="52.8" outlineLevel="1" x14ac:dyDescent="0.25">
      <c r="A106" s="56">
        <f>MAX($A$1:A105)+1</f>
        <v>79</v>
      </c>
      <c r="B106" s="57" t="s">
        <v>1752</v>
      </c>
      <c r="C106" s="53" t="str">
        <f xml:space="preserve"> "Diag_0x28_Fun_" &amp; TEXT(A106, "000")</f>
        <v>Diag_0x28_Fun_079</v>
      </c>
      <c r="D106" s="9" t="s">
        <v>1824</v>
      </c>
      <c r="E106" s="58" t="s">
        <v>55</v>
      </c>
      <c r="F106" s="9" t="s">
        <v>21</v>
      </c>
      <c r="G106" s="9" t="s">
        <v>1753</v>
      </c>
      <c r="H106" s="59" t="s">
        <v>1763</v>
      </c>
      <c r="I106" s="57" t="s">
        <v>1873</v>
      </c>
      <c r="J106" s="71" t="s">
        <v>1833</v>
      </c>
      <c r="K106" s="104"/>
      <c r="L106" s="46" t="s">
        <v>671</v>
      </c>
      <c r="M106" s="105"/>
      <c r="N106" s="124"/>
      <c r="O106" s="125"/>
      <c r="P106" s="125"/>
    </row>
    <row r="107" spans="1:16" s="126" customFormat="1" ht="52.8" outlineLevel="1" x14ac:dyDescent="0.25">
      <c r="A107" s="56">
        <f>MAX($A$1:A106)+1</f>
        <v>80</v>
      </c>
      <c r="B107" s="57" t="s">
        <v>1801</v>
      </c>
      <c r="C107" s="53" t="str">
        <f xml:space="preserve"> "Diag_0x28_Fun_" &amp; TEXT(A107, "000")</f>
        <v>Diag_0x28_Fun_080</v>
      </c>
      <c r="D107" s="10" t="s">
        <v>1825</v>
      </c>
      <c r="E107" s="58" t="s">
        <v>55</v>
      </c>
      <c r="F107" s="9" t="s">
        <v>21</v>
      </c>
      <c r="G107" s="9" t="s">
        <v>1826</v>
      </c>
      <c r="H107" s="59" t="s">
        <v>1763</v>
      </c>
      <c r="I107" s="110" t="s">
        <v>1827</v>
      </c>
      <c r="J107" s="115" t="s">
        <v>1834</v>
      </c>
      <c r="K107" s="131"/>
      <c r="L107" s="46" t="s">
        <v>671</v>
      </c>
      <c r="M107" s="132"/>
      <c r="N107" s="124"/>
      <c r="O107" s="125"/>
      <c r="P107" s="125"/>
    </row>
    <row r="108" spans="1:16" s="126" customFormat="1" ht="52.8" outlineLevel="1" x14ac:dyDescent="0.25">
      <c r="A108" s="56">
        <f>MAX($A$1:A107)+1</f>
        <v>81</v>
      </c>
      <c r="B108" s="57" t="s">
        <v>1761</v>
      </c>
      <c r="C108" s="53" t="str">
        <f xml:space="preserve"> "Diag_0x28_Fun_" &amp; TEXT(A108, "000")</f>
        <v>Diag_0x28_Fun_081</v>
      </c>
      <c r="D108" s="10" t="s">
        <v>1788</v>
      </c>
      <c r="E108" s="58" t="s">
        <v>55</v>
      </c>
      <c r="F108" s="9" t="s">
        <v>21</v>
      </c>
      <c r="G108" s="9" t="s">
        <v>1789</v>
      </c>
      <c r="H108" s="59" t="s">
        <v>983</v>
      </c>
      <c r="I108" s="51" t="s">
        <v>1828</v>
      </c>
      <c r="J108" s="52" t="s">
        <v>1834</v>
      </c>
      <c r="K108" s="134"/>
      <c r="L108" s="46" t="s">
        <v>671</v>
      </c>
      <c r="M108" s="134"/>
      <c r="N108" s="124"/>
      <c r="O108" s="125"/>
      <c r="P108" s="125"/>
    </row>
  </sheetData>
  <mergeCells count="34">
    <mergeCell ref="A21:M21"/>
    <mergeCell ref="A31:M31"/>
    <mergeCell ref="A36:M36"/>
    <mergeCell ref="A41:M41"/>
    <mergeCell ref="C2:F2"/>
    <mergeCell ref="G2:G3"/>
    <mergeCell ref="I2:I3"/>
    <mergeCell ref="M2:M3"/>
    <mergeCell ref="B2:B3"/>
    <mergeCell ref="A4:P4"/>
    <mergeCell ref="H2:H3"/>
    <mergeCell ref="A2:A3"/>
    <mergeCell ref="K2:K3"/>
    <mergeCell ref="J2:J3"/>
    <mergeCell ref="L2:L3"/>
    <mergeCell ref="A5:M5"/>
    <mergeCell ref="A6:M6"/>
    <mergeCell ref="A15:M15"/>
    <mergeCell ref="A46:M46"/>
    <mergeCell ref="A49:M49"/>
    <mergeCell ref="A51:M51"/>
    <mergeCell ref="A52:M52"/>
    <mergeCell ref="A61:M61"/>
    <mergeCell ref="A67:M67"/>
    <mergeCell ref="A77:M77"/>
    <mergeCell ref="A82:M82"/>
    <mergeCell ref="A87:M87"/>
    <mergeCell ref="A92:M92"/>
    <mergeCell ref="A104:M104"/>
    <mergeCell ref="A95:M95"/>
    <mergeCell ref="A97:M97"/>
    <mergeCell ref="A98:M98"/>
    <mergeCell ref="A100:M100"/>
    <mergeCell ref="A101:M101"/>
  </mergeCells>
  <phoneticPr fontId="4" type="noConversion"/>
  <conditionalFormatting sqref="L5:L108">
    <cfRule type="cellIs" dxfId="83" priority="1" operator="equal">
      <formula>"Fail"</formula>
    </cfRule>
  </conditionalFormatting>
  <dataValidations count="3">
    <dataValidation type="list" allowBlank="1" showInputMessage="1" showErrorMessage="1" sqref="L96 L102:L103 L68:L76 L99 L22:L30 L47:L48 L105:L108 L37:L40 L78:L81 L83:L86 L7:L14 L16:L20 L53:L60 L50 L32:L35 L62:L66 L88:L91 L93:L94 L42:L45">
      <formula1>"Pass,Fail,Not Apply,Block,Skip"</formula1>
    </dataValidation>
    <dataValidation type="list" allowBlank="1" showInputMessage="1" showErrorMessage="1" sqref="E102:E103 E105:E108 E7:E14 E83:E86 E50 E32:E35 E88:E91 E42:E45 E47:E48 E78:E81 E16:E20 E22:E30 E62:E66 E53:E60 E37:E40 E68:E76 E93:E94 E96 E99">
      <formula1>"High,Medium,Low"</formula1>
    </dataValidation>
    <dataValidation type="list" allowBlank="1" showInputMessage="1" showErrorMessage="1" sqref="AMM5:AMM6 AWI5:AWI6 BGE5:BGE6 BQA5:BQA6 BZW5:BZW6 CJS5:CJS6 CTO5:CTO6 DDK5:DDK6 DNG5:DNG6 DXC5:DXC6 EGY5:EGY6 EQU5:EQU6 FAQ5:FAQ6 FKM5:FKM6 FUI5:FUI6 GEE5:GEE6 GOA5:GOA6 GXW5:GXW6 HHS5:HHS6 HRO5:HRO6 IBK5:IBK6 ILG5:ILG6 IVC5:IVC6 JEY5:JEY6 JOU5:JOU6 JYQ5:JYQ6 KIM5:KIM6 KSI5:KSI6 LCE5:LCE6 LMA5:LMA6 LVW5:LVW6 MFS5:MFS6 MPO5:MPO6 MZK5:MZK6 NJG5:NJG6 NTC5:NTC6 OCY5:OCY6 OMU5:OMU6 OWQ5:OWQ6 PGM5:PGM6 PQI5:PQI6 QAE5:QAE6 QKA5:QKA6 QTW5:QTW6 RDS5:RDS6 RNO5:RNO6 RXK5:RXK6 SHG5:SHG6 SRC5:SRC6 TAY5:TAY6 TKU5:TKU6 TUQ5:TUQ6 UEM5:UEM6 UOI5:UOI6 UYE5:UYE6 VIA5:VIA6 VRW5:VRW6 WBS5:WBS6 WLO5:WLO6 WVK5:WVK6 IY5:IY6 SU5:SU6 IY16 WVK16 WLO16 WBS16 VRW16 VIA16 UYE16 UOI16 UEM16 TUQ16 TKU16 TAY16 SRC16 SHG16 RXK16 RNO16 RDS16 QTW16 QKA16 QAE16 PQI16 PGM16 OWQ16 OMU16 OCY16 NTC16 NJG16 MZK16 MPO16 MFS16 LVW16 LMA16 LCE16 KSI16 KIM16 JYQ16 JOU16 JEY16 IVC16 ILG16 IBK16 HRO16 HHS16 GXW16 GOA16 GEE16 FUI16 FKM16 FAQ16 EQU16 EGY16 DXC16 DNG16 DDK16 CTO16 CJS16 BZW16 BQA16 BGE16 AWI16 AMM16 ACQ16 SU16 ACQ5:ACQ6 ACQ57:ACQ58 AMM57:AMM58 AWI57:AWI58 BGE57:BGE58 BQA57:BQA58 BZW57:BZW58 CJS57:CJS58 CTO57:CTO58 DDK57:DDK58 DNG57:DNG58 DXC57:DXC58 EGY57:EGY58 EQU57:EQU58 FAQ57:FAQ58 FKM57:FKM58 FUI57:FUI58 GEE57:GEE58 GOA57:GOA58 GXW57:GXW58 HHS57:HHS58 HRO57:HRO58 IBK57:IBK58 ILG57:ILG58 IVC57:IVC58 JEY57:JEY58 JOU57:JOU58 JYQ57:JYQ58 KIM57:KIM58 KSI57:KSI58 LCE57:LCE58 LMA57:LMA58 LVW57:LVW58 MFS57:MFS58 MPO57:MPO58 MZK57:MZK58 NJG57:NJG58 NTC57:NTC58 OCY57:OCY58 OMU57:OMU58 OWQ57:OWQ58 PGM57:PGM58 PQI57:PQI58 QAE57:QAE58 QKA57:QKA58 QTW57:QTW58 RDS57:RDS58 RNO57:RNO58 RXK57:RXK58 SHG57:SHG58 SRC57:SRC58 TAY57:TAY58 TKU57:TKU58 TUQ57:TUQ58 UEM57:UEM58 UOI57:UOI58 UYE57:UYE58 VIA57:VIA58 VRW57:VRW58 WBS57:WBS58 WLO57:WLO58 WVK57:WVK58 IY57:IY58 SU57:SU58 IY68 WVK68 WLO68 WBS68 VRW68 VIA68 UYE68 UOI68 UEM68 TUQ68 TKU68 TAY68 SRC68 SHG68 RXK68 RNO68 RDS68 QTW68 QKA68 QAE68 PQI68 PGM68 OWQ68 OMU68 OCY68 NTC68 NJG68 MZK68 MPO68 MFS68 LVW68 LMA68 LCE68 KSI68 KIM68 JYQ68 JOU68 JEY68 IVC68 ILG68 IBK68 HRO68 HHS68 GXW68 GOA68 GEE68 FUI68 FKM68 FAQ68 EQU68 EGY68 DXC68 DNG68 DDK68 CTO68 CJS68 BZW68 BQA68 BGE68 AWI68 AMM68 ACQ68 SU68">
      <formula1>"高High,中Medium,低Low"</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selection activeCell="K12" sqref="K12"/>
    </sheetView>
  </sheetViews>
  <sheetFormatPr defaultRowHeight="14.4" x14ac:dyDescent="0.25"/>
  <cols>
    <col min="1" max="1" width="12" customWidth="1"/>
    <col min="2" max="3" width="18" customWidth="1"/>
    <col min="4" max="4" width="55" customWidth="1"/>
    <col min="5" max="5" width="8" customWidth="1"/>
    <col min="6" max="6" width="10" customWidth="1"/>
    <col min="7" max="7" width="16" customWidth="1"/>
    <col min="8" max="8" width="14" customWidth="1"/>
    <col min="9"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431</v>
      </c>
      <c r="B4" s="140"/>
      <c r="C4" s="140"/>
      <c r="D4" s="140"/>
      <c r="E4" s="140"/>
      <c r="F4" s="140"/>
      <c r="G4" s="140"/>
      <c r="H4" s="140"/>
      <c r="I4" s="140"/>
      <c r="J4" s="140"/>
      <c r="K4" s="140"/>
      <c r="L4" s="140"/>
      <c r="M4" s="140"/>
      <c r="N4" s="140"/>
      <c r="O4" s="140"/>
      <c r="P4" s="140"/>
    </row>
    <row r="5" spans="1:16" x14ac:dyDescent="0.25">
      <c r="A5" s="139" t="s">
        <v>432</v>
      </c>
      <c r="B5" s="140"/>
      <c r="C5" s="140"/>
      <c r="D5" s="140"/>
      <c r="E5" s="140"/>
      <c r="F5" s="140"/>
      <c r="G5" s="140"/>
      <c r="H5" s="140"/>
      <c r="I5" s="140"/>
      <c r="J5" s="140"/>
      <c r="K5" s="140"/>
      <c r="L5" s="140"/>
      <c r="M5" s="140"/>
      <c r="N5" s="140"/>
      <c r="O5" s="140"/>
      <c r="P5" s="140"/>
    </row>
    <row r="6" spans="1:16" ht="36" x14ac:dyDescent="0.25">
      <c r="A6" s="4">
        <v>1</v>
      </c>
      <c r="B6" s="5" t="s">
        <v>17</v>
      </c>
      <c r="C6" s="5" t="s">
        <v>433</v>
      </c>
      <c r="D6" s="5" t="s">
        <v>434</v>
      </c>
      <c r="E6" s="5" t="s">
        <v>20</v>
      </c>
      <c r="F6" s="5" t="s">
        <v>21</v>
      </c>
      <c r="G6" s="5" t="s">
        <v>22</v>
      </c>
      <c r="H6" s="5" t="s">
        <v>23</v>
      </c>
      <c r="I6" s="5" t="s">
        <v>1866</v>
      </c>
      <c r="J6" s="5" t="s">
        <v>1867</v>
      </c>
      <c r="K6" s="5"/>
      <c r="L6" s="46" t="s">
        <v>671</v>
      </c>
      <c r="M6" s="5"/>
      <c r="N6" s="5"/>
      <c r="O6" s="5"/>
      <c r="P6" s="5"/>
    </row>
    <row r="7" spans="1:16" ht="72" x14ac:dyDescent="0.25">
      <c r="A7" s="4">
        <v>2</v>
      </c>
      <c r="B7" s="5" t="s">
        <v>17</v>
      </c>
      <c r="C7" s="5" t="s">
        <v>435</v>
      </c>
      <c r="D7" s="5" t="s">
        <v>436</v>
      </c>
      <c r="E7" s="5" t="s">
        <v>20</v>
      </c>
      <c r="F7" s="5" t="s">
        <v>21</v>
      </c>
      <c r="G7" s="5" t="s">
        <v>22</v>
      </c>
      <c r="H7" s="5" t="s">
        <v>23</v>
      </c>
      <c r="I7" s="5" t="s">
        <v>1870</v>
      </c>
      <c r="J7" s="5" t="s">
        <v>1868</v>
      </c>
      <c r="K7" s="5"/>
      <c r="L7" s="46" t="s">
        <v>671</v>
      </c>
      <c r="M7" s="5"/>
      <c r="N7" s="5"/>
      <c r="O7" s="5"/>
      <c r="P7" s="5"/>
    </row>
    <row r="8" spans="1:16" ht="36" x14ac:dyDescent="0.25">
      <c r="A8" s="4">
        <v>3</v>
      </c>
      <c r="B8" s="5" t="s">
        <v>17</v>
      </c>
      <c r="C8" s="5" t="s">
        <v>437</v>
      </c>
      <c r="D8" s="5" t="s">
        <v>438</v>
      </c>
      <c r="E8" s="5" t="s">
        <v>20</v>
      </c>
      <c r="F8" s="5" t="s">
        <v>21</v>
      </c>
      <c r="G8" s="5" t="s">
        <v>22</v>
      </c>
      <c r="H8" s="5" t="s">
        <v>23</v>
      </c>
      <c r="I8" s="5" t="s">
        <v>1871</v>
      </c>
      <c r="J8" s="5" t="s">
        <v>1869</v>
      </c>
      <c r="K8" s="5"/>
      <c r="L8" s="46" t="s">
        <v>671</v>
      </c>
      <c r="M8" s="5"/>
      <c r="N8" s="5"/>
      <c r="O8" s="5"/>
      <c r="P8" s="5"/>
    </row>
  </sheetData>
  <mergeCells count="12">
    <mergeCell ref="A5:P5"/>
    <mergeCell ref="I2:I3"/>
    <mergeCell ref="K2:K3"/>
    <mergeCell ref="M2:M3"/>
    <mergeCell ref="B2:B3"/>
    <mergeCell ref="A2:A3"/>
    <mergeCell ref="A4:P4"/>
    <mergeCell ref="C2:F2"/>
    <mergeCell ref="G2:G3"/>
    <mergeCell ref="J2:J3"/>
    <mergeCell ref="H2:H3"/>
    <mergeCell ref="L2:L3"/>
  </mergeCells>
  <phoneticPr fontId="4" type="noConversion"/>
  <conditionalFormatting sqref="L6:L8">
    <cfRule type="cellIs" dxfId="82" priority="1" operator="equal">
      <formula>"Fail"</formula>
    </cfRule>
  </conditionalFormatting>
  <dataValidations count="1">
    <dataValidation type="list" allowBlank="1" showInputMessage="1" showErrorMessage="1" sqref="L6:L8">
      <formula1>"Pass,Fail,Not Apply,Block,Skip"</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topLeftCell="E1" zoomScaleNormal="100" workbookViewId="0">
      <selection activeCell="L6" sqref="L6"/>
    </sheetView>
  </sheetViews>
  <sheetFormatPr defaultRowHeight="14.4" x14ac:dyDescent="0.25"/>
  <cols>
    <col min="1" max="1" width="12" customWidth="1"/>
    <col min="2" max="3" width="18" customWidth="1"/>
    <col min="4" max="4" width="55" customWidth="1"/>
    <col min="5" max="5" width="8" customWidth="1"/>
    <col min="6" max="6" width="10" customWidth="1"/>
    <col min="7" max="7" width="16" customWidth="1"/>
    <col min="8" max="8" width="14" customWidth="1"/>
    <col min="9"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439</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60" x14ac:dyDescent="0.25">
      <c r="A6" s="4">
        <v>1</v>
      </c>
      <c r="B6" s="5" t="s">
        <v>17</v>
      </c>
      <c r="C6" s="5" t="s">
        <v>440</v>
      </c>
      <c r="D6" s="5" t="s">
        <v>441</v>
      </c>
      <c r="E6" s="5" t="s">
        <v>20</v>
      </c>
      <c r="F6" s="5" t="s">
        <v>21</v>
      </c>
      <c r="G6" s="5" t="s">
        <v>22</v>
      </c>
      <c r="H6" s="5" t="s">
        <v>23</v>
      </c>
      <c r="I6" s="5" t="s">
        <v>1671</v>
      </c>
      <c r="J6" s="5" t="s">
        <v>1846</v>
      </c>
      <c r="K6" s="5"/>
      <c r="L6" s="46" t="s">
        <v>672</v>
      </c>
      <c r="M6" s="5"/>
      <c r="N6" s="5"/>
      <c r="O6" s="5"/>
      <c r="P6" s="5"/>
    </row>
    <row r="7" spans="1:16" ht="60" x14ac:dyDescent="0.25">
      <c r="A7" s="4">
        <v>2</v>
      </c>
      <c r="B7" s="5" t="s">
        <v>17</v>
      </c>
      <c r="C7" s="5" t="s">
        <v>442</v>
      </c>
      <c r="D7" s="5" t="s">
        <v>443</v>
      </c>
      <c r="E7" s="5" t="s">
        <v>20</v>
      </c>
      <c r="F7" s="5" t="s">
        <v>21</v>
      </c>
      <c r="G7" s="5" t="s">
        <v>22</v>
      </c>
      <c r="H7" s="5" t="s">
        <v>23</v>
      </c>
      <c r="I7" s="5" t="s">
        <v>1672</v>
      </c>
      <c r="J7" s="5" t="s">
        <v>1847</v>
      </c>
      <c r="K7" s="5"/>
      <c r="L7" s="46" t="s">
        <v>672</v>
      </c>
      <c r="M7" s="5"/>
      <c r="N7" s="5"/>
      <c r="O7" s="5"/>
      <c r="P7" s="5"/>
    </row>
    <row r="8" spans="1:16" ht="60" x14ac:dyDescent="0.25">
      <c r="A8" s="4">
        <v>3</v>
      </c>
      <c r="B8" s="5" t="s">
        <v>17</v>
      </c>
      <c r="C8" s="5" t="s">
        <v>445</v>
      </c>
      <c r="D8" s="5" t="s">
        <v>446</v>
      </c>
      <c r="E8" s="5" t="s">
        <v>20</v>
      </c>
      <c r="F8" s="5" t="s">
        <v>21</v>
      </c>
      <c r="G8" s="5" t="s">
        <v>22</v>
      </c>
      <c r="H8" s="5" t="s">
        <v>23</v>
      </c>
      <c r="I8" s="5" t="s">
        <v>1673</v>
      </c>
      <c r="J8" s="5" t="s">
        <v>444</v>
      </c>
      <c r="K8" s="5"/>
      <c r="L8" s="46" t="s">
        <v>672</v>
      </c>
      <c r="M8" s="5"/>
      <c r="N8" s="5"/>
      <c r="O8" s="5"/>
      <c r="P8" s="5"/>
    </row>
    <row r="9" spans="1:16" ht="252" x14ac:dyDescent="0.25">
      <c r="A9" s="4">
        <v>4</v>
      </c>
      <c r="B9" s="5" t="s">
        <v>17</v>
      </c>
      <c r="C9" s="5" t="s">
        <v>447</v>
      </c>
      <c r="D9" s="5" t="s">
        <v>448</v>
      </c>
      <c r="E9" s="5" t="s">
        <v>20</v>
      </c>
      <c r="F9" s="5" t="s">
        <v>21</v>
      </c>
      <c r="G9" s="5" t="s">
        <v>22</v>
      </c>
      <c r="H9" s="5" t="s">
        <v>23</v>
      </c>
      <c r="I9" s="5" t="s">
        <v>1674</v>
      </c>
      <c r="J9" s="5" t="s">
        <v>449</v>
      </c>
      <c r="K9" s="5"/>
      <c r="L9" s="46" t="s">
        <v>672</v>
      </c>
      <c r="M9" s="5"/>
      <c r="N9" s="5"/>
      <c r="O9" s="5"/>
      <c r="P9" s="5"/>
    </row>
    <row r="10" spans="1:16" ht="240" x14ac:dyDescent="0.25">
      <c r="A10" s="4">
        <v>5</v>
      </c>
      <c r="B10" s="5" t="s">
        <v>17</v>
      </c>
      <c r="C10" s="5" t="s">
        <v>450</v>
      </c>
      <c r="D10" s="5" t="s">
        <v>451</v>
      </c>
      <c r="E10" s="5" t="s">
        <v>20</v>
      </c>
      <c r="F10" s="5" t="s">
        <v>21</v>
      </c>
      <c r="G10" s="5" t="s">
        <v>22</v>
      </c>
      <c r="H10" s="5" t="s">
        <v>23</v>
      </c>
      <c r="I10" s="5" t="s">
        <v>1675</v>
      </c>
      <c r="J10" s="5" t="s">
        <v>452</v>
      </c>
      <c r="K10" s="5"/>
      <c r="L10" s="46" t="s">
        <v>672</v>
      </c>
      <c r="M10" s="5"/>
      <c r="N10" s="5"/>
      <c r="O10" s="5"/>
      <c r="P10" s="5"/>
    </row>
    <row r="11" spans="1:16" ht="252" x14ac:dyDescent="0.25">
      <c r="A11" s="4">
        <v>6</v>
      </c>
      <c r="B11" s="5" t="s">
        <v>17</v>
      </c>
      <c r="C11" s="5" t="s">
        <v>453</v>
      </c>
      <c r="D11" s="5" t="s">
        <v>454</v>
      </c>
      <c r="E11" s="5" t="s">
        <v>20</v>
      </c>
      <c r="F11" s="5" t="s">
        <v>21</v>
      </c>
      <c r="G11" s="5" t="s">
        <v>22</v>
      </c>
      <c r="H11" s="5" t="s">
        <v>23</v>
      </c>
      <c r="I11" s="5" t="s">
        <v>1676</v>
      </c>
      <c r="J11" s="5" t="s">
        <v>455</v>
      </c>
      <c r="K11" s="5"/>
      <c r="L11" s="46" t="s">
        <v>672</v>
      </c>
      <c r="M11" s="5"/>
      <c r="N11" s="5"/>
      <c r="O11" s="5"/>
      <c r="P11" s="5"/>
    </row>
    <row r="12" spans="1:16" ht="240" x14ac:dyDescent="0.25">
      <c r="A12" s="4">
        <v>7</v>
      </c>
      <c r="B12" s="5" t="s">
        <v>17</v>
      </c>
      <c r="C12" s="5" t="s">
        <v>456</v>
      </c>
      <c r="D12" s="5" t="s">
        <v>457</v>
      </c>
      <c r="E12" s="5" t="s">
        <v>20</v>
      </c>
      <c r="F12" s="5" t="s">
        <v>21</v>
      </c>
      <c r="G12" s="5" t="s">
        <v>22</v>
      </c>
      <c r="H12" s="5" t="s">
        <v>23</v>
      </c>
      <c r="I12" s="5" t="s">
        <v>1677</v>
      </c>
      <c r="J12" s="5" t="s">
        <v>458</v>
      </c>
      <c r="K12" s="5"/>
      <c r="L12" s="46" t="s">
        <v>672</v>
      </c>
      <c r="M12" s="5"/>
      <c r="N12" s="5"/>
      <c r="O12" s="5"/>
      <c r="P12" s="5"/>
    </row>
    <row r="13" spans="1:16" ht="240" x14ac:dyDescent="0.25">
      <c r="A13" s="4">
        <v>8</v>
      </c>
      <c r="B13" s="5" t="s">
        <v>17</v>
      </c>
      <c r="C13" s="5" t="s">
        <v>459</v>
      </c>
      <c r="D13" s="5" t="s">
        <v>460</v>
      </c>
      <c r="E13" s="5" t="s">
        <v>20</v>
      </c>
      <c r="F13" s="5" t="s">
        <v>21</v>
      </c>
      <c r="G13" s="5" t="s">
        <v>22</v>
      </c>
      <c r="H13" s="5" t="s">
        <v>23</v>
      </c>
      <c r="I13" s="5" t="s">
        <v>1678</v>
      </c>
      <c r="J13" s="5" t="s">
        <v>461</v>
      </c>
      <c r="K13" s="5"/>
      <c r="L13" s="46" t="s">
        <v>672</v>
      </c>
      <c r="M13" s="5"/>
      <c r="N13" s="5"/>
      <c r="O13" s="5"/>
      <c r="P13" s="5"/>
    </row>
    <row r="14" spans="1:16" ht="240" x14ac:dyDescent="0.25">
      <c r="A14" s="4">
        <v>9</v>
      </c>
      <c r="B14" s="5" t="s">
        <v>17</v>
      </c>
      <c r="C14" s="5" t="s">
        <v>462</v>
      </c>
      <c r="D14" s="5" t="s">
        <v>463</v>
      </c>
      <c r="E14" s="5" t="s">
        <v>20</v>
      </c>
      <c r="F14" s="5" t="s">
        <v>21</v>
      </c>
      <c r="G14" s="5" t="s">
        <v>22</v>
      </c>
      <c r="H14" s="5" t="s">
        <v>23</v>
      </c>
      <c r="I14" s="5" t="s">
        <v>1679</v>
      </c>
      <c r="J14" s="5" t="s">
        <v>461</v>
      </c>
      <c r="K14" s="5"/>
      <c r="L14" s="46" t="s">
        <v>672</v>
      </c>
      <c r="M14" s="5"/>
      <c r="N14" s="5"/>
      <c r="O14" s="5"/>
      <c r="P14" s="5"/>
    </row>
    <row r="15" spans="1:16" x14ac:dyDescent="0.25">
      <c r="A15" s="139" t="s">
        <v>158</v>
      </c>
      <c r="B15" s="140"/>
      <c r="C15" s="140"/>
      <c r="D15" s="140"/>
      <c r="E15" s="140"/>
      <c r="F15" s="140"/>
      <c r="G15" s="140"/>
      <c r="H15" s="140"/>
      <c r="I15" s="140"/>
      <c r="J15" s="140"/>
      <c r="K15" s="140"/>
      <c r="L15" s="140"/>
      <c r="M15" s="140"/>
      <c r="N15" s="140"/>
      <c r="O15" s="140"/>
      <c r="P15" s="140"/>
    </row>
    <row r="16" spans="1:16" ht="192" x14ac:dyDescent="0.25">
      <c r="A16" s="4">
        <v>10</v>
      </c>
      <c r="B16" s="5" t="s">
        <v>17</v>
      </c>
      <c r="C16" s="5" t="s">
        <v>464</v>
      </c>
      <c r="D16" s="5" t="s">
        <v>465</v>
      </c>
      <c r="E16" s="5" t="s">
        <v>20</v>
      </c>
      <c r="F16" s="5" t="s">
        <v>21</v>
      </c>
      <c r="G16" s="5" t="s">
        <v>22</v>
      </c>
      <c r="H16" s="5" t="s">
        <v>23</v>
      </c>
      <c r="I16" s="5" t="s">
        <v>1680</v>
      </c>
      <c r="J16" s="5" t="s">
        <v>466</v>
      </c>
      <c r="K16" s="5"/>
      <c r="L16" s="46" t="s">
        <v>672</v>
      </c>
      <c r="M16" s="5"/>
      <c r="N16" s="5"/>
      <c r="O16" s="5"/>
      <c r="P16" s="5"/>
    </row>
    <row r="17" spans="1:16" ht="192" x14ac:dyDescent="0.25">
      <c r="A17" s="4">
        <v>11</v>
      </c>
      <c r="B17" s="5" t="s">
        <v>17</v>
      </c>
      <c r="C17" s="5" t="s">
        <v>467</v>
      </c>
      <c r="D17" s="5" t="s">
        <v>468</v>
      </c>
      <c r="E17" s="5" t="s">
        <v>20</v>
      </c>
      <c r="F17" s="5" t="s">
        <v>21</v>
      </c>
      <c r="G17" s="5" t="s">
        <v>22</v>
      </c>
      <c r="H17" s="5" t="s">
        <v>23</v>
      </c>
      <c r="I17" s="5" t="s">
        <v>1681</v>
      </c>
      <c r="J17" s="5" t="s">
        <v>466</v>
      </c>
      <c r="K17" s="5"/>
      <c r="L17" s="46" t="s">
        <v>672</v>
      </c>
      <c r="M17" s="5"/>
      <c r="N17" s="5"/>
      <c r="O17" s="5"/>
      <c r="P17" s="5"/>
    </row>
    <row r="18" spans="1:16" ht="252" x14ac:dyDescent="0.25">
      <c r="A18" s="4">
        <v>12</v>
      </c>
      <c r="B18" s="5" t="s">
        <v>17</v>
      </c>
      <c r="C18" s="5" t="s">
        <v>469</v>
      </c>
      <c r="D18" s="5" t="s">
        <v>470</v>
      </c>
      <c r="E18" s="5" t="s">
        <v>20</v>
      </c>
      <c r="F18" s="5" t="s">
        <v>21</v>
      </c>
      <c r="G18" s="5" t="s">
        <v>22</v>
      </c>
      <c r="H18" s="5" t="s">
        <v>23</v>
      </c>
      <c r="I18" s="5" t="s">
        <v>1674</v>
      </c>
      <c r="J18" s="5" t="s">
        <v>449</v>
      </c>
      <c r="K18" s="5"/>
      <c r="L18" s="46" t="s">
        <v>672</v>
      </c>
      <c r="M18" s="5"/>
      <c r="N18" s="5"/>
      <c r="O18" s="5"/>
      <c r="P18" s="5"/>
    </row>
    <row r="19" spans="1:16" ht="252" x14ac:dyDescent="0.25">
      <c r="A19" s="4">
        <v>13</v>
      </c>
      <c r="B19" s="5" t="s">
        <v>17</v>
      </c>
      <c r="C19" s="5" t="s">
        <v>471</v>
      </c>
      <c r="D19" s="5" t="s">
        <v>472</v>
      </c>
      <c r="E19" s="5" t="s">
        <v>20</v>
      </c>
      <c r="F19" s="5" t="s">
        <v>21</v>
      </c>
      <c r="G19" s="5" t="s">
        <v>22</v>
      </c>
      <c r="H19" s="5" t="s">
        <v>23</v>
      </c>
      <c r="I19" s="5" t="s">
        <v>1676</v>
      </c>
      <c r="J19" s="5" t="s">
        <v>455</v>
      </c>
      <c r="K19" s="5"/>
      <c r="L19" s="46" t="s">
        <v>672</v>
      </c>
      <c r="M19" s="5"/>
      <c r="N19" s="5"/>
      <c r="O19" s="5"/>
      <c r="P19" s="5"/>
    </row>
    <row r="20" spans="1:16" x14ac:dyDescent="0.25">
      <c r="A20" s="139" t="s">
        <v>473</v>
      </c>
      <c r="B20" s="140"/>
      <c r="C20" s="140"/>
      <c r="D20" s="140"/>
      <c r="E20" s="140"/>
      <c r="F20" s="140"/>
      <c r="G20" s="140"/>
      <c r="H20" s="140"/>
      <c r="I20" s="140"/>
      <c r="J20" s="140"/>
      <c r="K20" s="140"/>
      <c r="L20" s="140"/>
      <c r="M20" s="140"/>
      <c r="N20" s="140"/>
      <c r="O20" s="140"/>
      <c r="P20" s="140"/>
    </row>
    <row r="21" spans="1:16" ht="276" x14ac:dyDescent="0.25">
      <c r="A21" s="4">
        <v>14</v>
      </c>
      <c r="B21" s="5" t="s">
        <v>17</v>
      </c>
      <c r="C21" s="5" t="s">
        <v>474</v>
      </c>
      <c r="D21" s="5" t="s">
        <v>475</v>
      </c>
      <c r="E21" s="5" t="s">
        <v>20</v>
      </c>
      <c r="F21" s="5" t="s">
        <v>21</v>
      </c>
      <c r="G21" s="5" t="s">
        <v>22</v>
      </c>
      <c r="H21" s="5" t="s">
        <v>23</v>
      </c>
      <c r="I21" s="5" t="s">
        <v>1682</v>
      </c>
      <c r="J21" s="5" t="s">
        <v>476</v>
      </c>
      <c r="K21" s="5"/>
      <c r="L21" s="46" t="s">
        <v>672</v>
      </c>
      <c r="M21" s="5"/>
      <c r="N21" s="5"/>
      <c r="O21" s="5"/>
      <c r="P21" s="5"/>
    </row>
    <row r="22" spans="1:16" ht="276" x14ac:dyDescent="0.25">
      <c r="A22" s="4">
        <v>15</v>
      </c>
      <c r="B22" s="5" t="s">
        <v>17</v>
      </c>
      <c r="C22" s="5" t="s">
        <v>477</v>
      </c>
      <c r="D22" s="5" t="s">
        <v>478</v>
      </c>
      <c r="E22" s="5" t="s">
        <v>20</v>
      </c>
      <c r="F22" s="5" t="s">
        <v>21</v>
      </c>
      <c r="G22" s="5" t="s">
        <v>22</v>
      </c>
      <c r="H22" s="5" t="s">
        <v>23</v>
      </c>
      <c r="I22" s="5" t="s">
        <v>1683</v>
      </c>
      <c r="J22" s="5" t="s">
        <v>479</v>
      </c>
      <c r="K22" s="5"/>
      <c r="L22" s="46" t="s">
        <v>672</v>
      </c>
      <c r="M22" s="5"/>
      <c r="N22" s="5"/>
      <c r="O22" s="5"/>
      <c r="P22" s="5"/>
    </row>
    <row r="23" spans="1:16" ht="276" x14ac:dyDescent="0.25">
      <c r="A23" s="4">
        <v>16</v>
      </c>
      <c r="B23" s="5" t="s">
        <v>17</v>
      </c>
      <c r="C23" s="5" t="s">
        <v>480</v>
      </c>
      <c r="D23" s="5" t="s">
        <v>481</v>
      </c>
      <c r="E23" s="5" t="s">
        <v>20</v>
      </c>
      <c r="F23" s="5" t="s">
        <v>21</v>
      </c>
      <c r="G23" s="5" t="s">
        <v>22</v>
      </c>
      <c r="H23" s="5" t="s">
        <v>23</v>
      </c>
      <c r="I23" s="5" t="s">
        <v>1684</v>
      </c>
      <c r="J23" s="5" t="s">
        <v>476</v>
      </c>
      <c r="K23" s="5"/>
      <c r="L23" s="46" t="s">
        <v>672</v>
      </c>
      <c r="M23" s="5"/>
      <c r="N23" s="5"/>
      <c r="O23" s="5"/>
      <c r="P23" s="5"/>
    </row>
    <row r="24" spans="1:16" ht="276" x14ac:dyDescent="0.25">
      <c r="A24" s="4">
        <v>17</v>
      </c>
      <c r="B24" s="5" t="s">
        <v>17</v>
      </c>
      <c r="C24" s="5" t="s">
        <v>482</v>
      </c>
      <c r="D24" s="5" t="s">
        <v>483</v>
      </c>
      <c r="E24" s="5" t="s">
        <v>20</v>
      </c>
      <c r="F24" s="5" t="s">
        <v>21</v>
      </c>
      <c r="G24" s="5" t="s">
        <v>22</v>
      </c>
      <c r="H24" s="5" t="s">
        <v>23</v>
      </c>
      <c r="I24" s="5" t="s">
        <v>1685</v>
      </c>
      <c r="J24" s="5" t="s">
        <v>484</v>
      </c>
      <c r="K24" s="5"/>
      <c r="L24" s="46" t="s">
        <v>672</v>
      </c>
      <c r="M24" s="5"/>
      <c r="N24" s="5"/>
      <c r="O24" s="5"/>
      <c r="P24" s="5"/>
    </row>
    <row r="25" spans="1:16" ht="276" x14ac:dyDescent="0.25">
      <c r="A25" s="4">
        <v>18</v>
      </c>
      <c r="B25" s="5" t="s">
        <v>17</v>
      </c>
      <c r="C25" s="5" t="s">
        <v>485</v>
      </c>
      <c r="D25" s="5" t="s">
        <v>486</v>
      </c>
      <c r="E25" s="5" t="s">
        <v>20</v>
      </c>
      <c r="F25" s="5" t="s">
        <v>21</v>
      </c>
      <c r="G25" s="5" t="s">
        <v>22</v>
      </c>
      <c r="H25" s="5" t="s">
        <v>23</v>
      </c>
      <c r="I25" s="5" t="s">
        <v>1686</v>
      </c>
      <c r="J25" s="5" t="s">
        <v>476</v>
      </c>
      <c r="K25" s="5"/>
      <c r="L25" s="46" t="s">
        <v>672</v>
      </c>
      <c r="M25" s="5"/>
      <c r="N25" s="5"/>
      <c r="O25" s="5"/>
      <c r="P25" s="5"/>
    </row>
    <row r="26" spans="1:16" ht="276" x14ac:dyDescent="0.25">
      <c r="A26" s="4">
        <v>19</v>
      </c>
      <c r="B26" s="5" t="s">
        <v>17</v>
      </c>
      <c r="C26" s="5" t="s">
        <v>487</v>
      </c>
      <c r="D26" s="5" t="s">
        <v>488</v>
      </c>
      <c r="E26" s="5" t="s">
        <v>20</v>
      </c>
      <c r="F26" s="5" t="s">
        <v>21</v>
      </c>
      <c r="G26" s="5" t="s">
        <v>22</v>
      </c>
      <c r="H26" s="5" t="s">
        <v>23</v>
      </c>
      <c r="I26" s="5" t="s">
        <v>1687</v>
      </c>
      <c r="J26" s="5" t="s">
        <v>476</v>
      </c>
      <c r="K26" s="5"/>
      <c r="L26" s="46" t="s">
        <v>672</v>
      </c>
      <c r="M26" s="5"/>
      <c r="N26" s="5"/>
      <c r="O26" s="5"/>
      <c r="P26" s="5"/>
    </row>
    <row r="27" spans="1:16" x14ac:dyDescent="0.25">
      <c r="A27" s="139" t="s">
        <v>489</v>
      </c>
      <c r="B27" s="140"/>
      <c r="C27" s="140"/>
      <c r="D27" s="140"/>
      <c r="E27" s="140"/>
      <c r="F27" s="140"/>
      <c r="G27" s="140"/>
      <c r="H27" s="140"/>
      <c r="I27" s="140"/>
      <c r="J27" s="140"/>
      <c r="K27" s="140"/>
      <c r="L27" s="140"/>
      <c r="M27" s="140"/>
      <c r="N27" s="140"/>
      <c r="O27" s="140"/>
      <c r="P27" s="140"/>
    </row>
    <row r="28" spans="1:16" ht="252" x14ac:dyDescent="0.25">
      <c r="A28" s="4">
        <v>20</v>
      </c>
      <c r="B28" s="5" t="s">
        <v>17</v>
      </c>
      <c r="C28" s="5" t="s">
        <v>490</v>
      </c>
      <c r="D28" s="5" t="s">
        <v>491</v>
      </c>
      <c r="E28" s="5" t="s">
        <v>61</v>
      </c>
      <c r="F28" s="5" t="s">
        <v>21</v>
      </c>
      <c r="G28" s="5" t="s">
        <v>22</v>
      </c>
      <c r="H28" s="5" t="s">
        <v>23</v>
      </c>
      <c r="I28" s="5" t="s">
        <v>1688</v>
      </c>
      <c r="J28" s="5" t="s">
        <v>492</v>
      </c>
      <c r="K28" s="5"/>
      <c r="L28" s="46" t="s">
        <v>672</v>
      </c>
      <c r="M28" s="5"/>
      <c r="N28" s="5"/>
      <c r="O28" s="5"/>
      <c r="P28" s="5"/>
    </row>
    <row r="29" spans="1:16" ht="252" x14ac:dyDescent="0.25">
      <c r="A29" s="4">
        <v>21</v>
      </c>
      <c r="B29" s="5" t="s">
        <v>17</v>
      </c>
      <c r="C29" s="5" t="s">
        <v>493</v>
      </c>
      <c r="D29" s="5" t="s">
        <v>494</v>
      </c>
      <c r="E29" s="5" t="s">
        <v>61</v>
      </c>
      <c r="F29" s="5" t="s">
        <v>21</v>
      </c>
      <c r="G29" s="5" t="s">
        <v>22</v>
      </c>
      <c r="H29" s="5" t="s">
        <v>23</v>
      </c>
      <c r="I29" s="5" t="s">
        <v>1689</v>
      </c>
      <c r="J29" s="5" t="s">
        <v>495</v>
      </c>
      <c r="K29" s="5"/>
      <c r="L29" s="46" t="s">
        <v>672</v>
      </c>
      <c r="M29" s="5"/>
      <c r="N29" s="5"/>
      <c r="O29" s="5"/>
      <c r="P29" s="5"/>
    </row>
    <row r="30" spans="1:16" x14ac:dyDescent="0.25">
      <c r="A30" s="139" t="s">
        <v>224</v>
      </c>
      <c r="B30" s="140"/>
      <c r="C30" s="140"/>
      <c r="D30" s="140"/>
      <c r="E30" s="140"/>
      <c r="F30" s="140"/>
      <c r="G30" s="140"/>
      <c r="H30" s="140"/>
      <c r="I30" s="140"/>
      <c r="J30" s="140"/>
      <c r="K30" s="140"/>
      <c r="L30" s="140"/>
      <c r="M30" s="140"/>
      <c r="N30" s="140"/>
      <c r="O30" s="140"/>
      <c r="P30" s="140"/>
    </row>
    <row r="31" spans="1:16" ht="252" x14ac:dyDescent="0.25">
      <c r="A31" s="4">
        <v>22</v>
      </c>
      <c r="B31" s="5" t="s">
        <v>17</v>
      </c>
      <c r="C31" s="5" t="s">
        <v>496</v>
      </c>
      <c r="D31" s="5" t="s">
        <v>120</v>
      </c>
      <c r="E31" s="5" t="s">
        <v>55</v>
      </c>
      <c r="F31" s="5" t="s">
        <v>21</v>
      </c>
      <c r="G31" s="5" t="s">
        <v>22</v>
      </c>
      <c r="H31" s="5" t="s">
        <v>23</v>
      </c>
      <c r="I31" s="5" t="s">
        <v>1690</v>
      </c>
      <c r="J31" s="5" t="s">
        <v>497</v>
      </c>
      <c r="K31" s="5"/>
      <c r="L31" s="46" t="s">
        <v>672</v>
      </c>
      <c r="M31" s="5"/>
      <c r="N31" s="5"/>
      <c r="O31" s="5"/>
      <c r="P31" s="5"/>
    </row>
    <row r="32" spans="1:16" ht="252" x14ac:dyDescent="0.25">
      <c r="A32" s="4">
        <v>23</v>
      </c>
      <c r="B32" s="5" t="s">
        <v>17</v>
      </c>
      <c r="C32" s="5" t="s">
        <v>498</v>
      </c>
      <c r="D32" s="5" t="s">
        <v>122</v>
      </c>
      <c r="E32" s="5" t="s">
        <v>55</v>
      </c>
      <c r="F32" s="5" t="s">
        <v>21</v>
      </c>
      <c r="G32" s="5" t="s">
        <v>22</v>
      </c>
      <c r="H32" s="5" t="s">
        <v>23</v>
      </c>
      <c r="I32" s="5" t="s">
        <v>1691</v>
      </c>
      <c r="J32" s="5" t="s">
        <v>449</v>
      </c>
      <c r="K32" s="5"/>
      <c r="L32" s="46" t="s">
        <v>672</v>
      </c>
      <c r="M32" s="5"/>
      <c r="N32" s="5"/>
      <c r="O32" s="5"/>
      <c r="P32" s="5"/>
    </row>
    <row r="33" spans="1:16" ht="252" x14ac:dyDescent="0.25">
      <c r="A33" s="4">
        <v>24</v>
      </c>
      <c r="B33" s="5" t="s">
        <v>17</v>
      </c>
      <c r="C33" s="5" t="s">
        <v>499</v>
      </c>
      <c r="D33" s="5" t="s">
        <v>500</v>
      </c>
      <c r="E33" s="5" t="s">
        <v>55</v>
      </c>
      <c r="F33" s="5" t="s">
        <v>21</v>
      </c>
      <c r="G33" s="5" t="s">
        <v>22</v>
      </c>
      <c r="H33" s="5" t="s">
        <v>23</v>
      </c>
      <c r="I33" s="5" t="s">
        <v>1692</v>
      </c>
      <c r="J33" s="5" t="s">
        <v>501</v>
      </c>
      <c r="K33" s="5"/>
      <c r="L33" s="46" t="s">
        <v>672</v>
      </c>
      <c r="M33" s="5"/>
      <c r="N33" s="5"/>
      <c r="O33" s="5"/>
      <c r="P33" s="5"/>
    </row>
    <row r="34" spans="1:16" ht="252" x14ac:dyDescent="0.25">
      <c r="A34" s="4">
        <v>25</v>
      </c>
      <c r="B34" s="5" t="s">
        <v>17</v>
      </c>
      <c r="C34" s="5" t="s">
        <v>502</v>
      </c>
      <c r="D34" s="5" t="s">
        <v>503</v>
      </c>
      <c r="E34" s="5" t="s">
        <v>55</v>
      </c>
      <c r="F34" s="5" t="s">
        <v>21</v>
      </c>
      <c r="G34" s="5" t="s">
        <v>22</v>
      </c>
      <c r="H34" s="5" t="s">
        <v>23</v>
      </c>
      <c r="I34" s="5" t="s">
        <v>1693</v>
      </c>
      <c r="J34" s="5" t="s">
        <v>501</v>
      </c>
      <c r="K34" s="5"/>
      <c r="L34" s="46" t="s">
        <v>672</v>
      </c>
      <c r="M34" s="5"/>
      <c r="N34" s="5"/>
      <c r="O34" s="5"/>
      <c r="P34" s="5"/>
    </row>
    <row r="35" spans="1:16" x14ac:dyDescent="0.25">
      <c r="A35" s="139" t="s">
        <v>504</v>
      </c>
      <c r="B35" s="140"/>
      <c r="C35" s="140"/>
      <c r="D35" s="140"/>
      <c r="E35" s="140"/>
      <c r="F35" s="140"/>
      <c r="G35" s="140"/>
      <c r="H35" s="140"/>
      <c r="I35" s="140"/>
      <c r="J35" s="140"/>
      <c r="K35" s="140"/>
      <c r="L35" s="140"/>
      <c r="M35" s="140"/>
      <c r="N35" s="140"/>
      <c r="O35" s="140"/>
      <c r="P35" s="140"/>
    </row>
    <row r="36" spans="1:16" ht="252" x14ac:dyDescent="0.25">
      <c r="A36" s="4">
        <v>26</v>
      </c>
      <c r="B36" s="5" t="s">
        <v>17</v>
      </c>
      <c r="C36" s="5" t="s">
        <v>505</v>
      </c>
      <c r="D36" s="5" t="s">
        <v>506</v>
      </c>
      <c r="E36" s="5" t="s">
        <v>20</v>
      </c>
      <c r="F36" s="5" t="s">
        <v>21</v>
      </c>
      <c r="G36" s="5" t="s">
        <v>22</v>
      </c>
      <c r="H36" s="5" t="s">
        <v>23</v>
      </c>
      <c r="I36" s="5" t="s">
        <v>1694</v>
      </c>
      <c r="J36" s="5" t="s">
        <v>497</v>
      </c>
      <c r="K36" s="5"/>
      <c r="L36" s="46" t="s">
        <v>672</v>
      </c>
      <c r="M36" s="5"/>
      <c r="N36" s="5"/>
      <c r="O36" s="5"/>
      <c r="P36" s="5"/>
    </row>
  </sheetData>
  <mergeCells count="17">
    <mergeCell ref="A27:P27"/>
    <mergeCell ref="K2:K3"/>
    <mergeCell ref="A35:P35"/>
    <mergeCell ref="M2:M3"/>
    <mergeCell ref="B2:B3"/>
    <mergeCell ref="A2:A3"/>
    <mergeCell ref="A4:P4"/>
    <mergeCell ref="A20:P20"/>
    <mergeCell ref="C2:F2"/>
    <mergeCell ref="G2:G3"/>
    <mergeCell ref="A30:P30"/>
    <mergeCell ref="J2:J3"/>
    <mergeCell ref="H2:H3"/>
    <mergeCell ref="L2:L3"/>
    <mergeCell ref="A15:P15"/>
    <mergeCell ref="A5:P5"/>
    <mergeCell ref="I2:I3"/>
  </mergeCells>
  <phoneticPr fontId="4" type="noConversion"/>
  <conditionalFormatting sqref="L6:L14">
    <cfRule type="cellIs" dxfId="81" priority="6" operator="equal">
      <formula>"Fail"</formula>
    </cfRule>
  </conditionalFormatting>
  <conditionalFormatting sqref="L16:L19">
    <cfRule type="cellIs" dxfId="80" priority="5" operator="equal">
      <formula>"Fail"</formula>
    </cfRule>
  </conditionalFormatting>
  <conditionalFormatting sqref="L21:L26">
    <cfRule type="cellIs" dxfId="79" priority="4" operator="equal">
      <formula>"Fail"</formula>
    </cfRule>
  </conditionalFormatting>
  <conditionalFormatting sqref="L28:L29">
    <cfRule type="cellIs" dxfId="78" priority="3" operator="equal">
      <formula>"Fail"</formula>
    </cfRule>
  </conditionalFormatting>
  <conditionalFormatting sqref="L31:L34">
    <cfRule type="cellIs" dxfId="77" priority="2" operator="equal">
      <formula>"Fail"</formula>
    </cfRule>
  </conditionalFormatting>
  <conditionalFormatting sqref="L36">
    <cfRule type="cellIs" dxfId="76" priority="1" operator="equal">
      <formula>"Fail"</formula>
    </cfRule>
  </conditionalFormatting>
  <dataValidations count="1">
    <dataValidation type="list" allowBlank="1" showInputMessage="1" showErrorMessage="1" sqref="L6:L14 L16:L19 L21:L26 L28:L29 L31:L34 L36">
      <formula1>"Pass,Fail,Not Apply,Block,Skip"</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
  <sheetViews>
    <sheetView topLeftCell="A25" workbookViewId="0">
      <selection activeCell="I34" sqref="I34"/>
    </sheetView>
  </sheetViews>
  <sheetFormatPr defaultRowHeight="14.4" outlineLevelRow="1" x14ac:dyDescent="0.25"/>
  <cols>
    <col min="2" max="2" width="16.109375" customWidth="1"/>
    <col min="3" max="3" width="17.88671875" customWidth="1"/>
    <col min="4" max="4" width="15.6640625" customWidth="1"/>
    <col min="5" max="5" width="7.33203125" customWidth="1"/>
    <col min="6" max="6" width="7.88671875" customWidth="1"/>
    <col min="7" max="7" width="21.6640625" customWidth="1"/>
    <col min="8" max="8" width="14.44140625" customWidth="1"/>
    <col min="9" max="9" width="41.33203125" customWidth="1"/>
    <col min="10" max="10" width="48.77734375" customWidth="1"/>
    <col min="11" max="11" width="13.21875" customWidth="1"/>
    <col min="12" max="12" width="14.21875" customWidth="1"/>
    <col min="13" max="13" width="19.33203125" customWidth="1"/>
  </cols>
  <sheetData>
    <row r="1" spans="1:16" s="49" customFormat="1" x14ac:dyDescent="0.25">
      <c r="B1" s="50" t="s">
        <v>0</v>
      </c>
      <c r="C1" s="50" t="s">
        <v>1</v>
      </c>
    </row>
    <row r="2" spans="1:16" s="49" customFormat="1" x14ac:dyDescent="0.25">
      <c r="A2" s="144" t="s">
        <v>2</v>
      </c>
      <c r="B2" s="142" t="s">
        <v>3</v>
      </c>
      <c r="C2" s="144" t="s">
        <v>4</v>
      </c>
      <c r="D2" s="140"/>
      <c r="E2" s="140"/>
      <c r="F2" s="143"/>
      <c r="G2" s="142" t="s">
        <v>5</v>
      </c>
      <c r="H2" s="142" t="s">
        <v>6</v>
      </c>
      <c r="I2" s="142" t="s">
        <v>7</v>
      </c>
      <c r="J2" s="142" t="s">
        <v>8</v>
      </c>
      <c r="K2" s="142" t="s">
        <v>9</v>
      </c>
      <c r="L2" s="142" t="s">
        <v>10</v>
      </c>
      <c r="M2" s="142" t="s">
        <v>11</v>
      </c>
    </row>
    <row r="3" spans="1:16" s="49" customFormat="1" x14ac:dyDescent="0.25">
      <c r="A3" s="143"/>
      <c r="B3" s="143"/>
      <c r="C3" s="2" t="s">
        <v>12</v>
      </c>
      <c r="D3" s="2" t="s">
        <v>13</v>
      </c>
      <c r="E3" s="2" t="s">
        <v>14</v>
      </c>
      <c r="F3" s="2" t="s">
        <v>15</v>
      </c>
      <c r="G3" s="143"/>
      <c r="H3" s="143"/>
      <c r="I3" s="143"/>
      <c r="J3" s="143"/>
      <c r="K3" s="143"/>
      <c r="L3" s="143"/>
      <c r="M3" s="143"/>
    </row>
    <row r="4" spans="1:16" s="49" customFormat="1" x14ac:dyDescent="0.25">
      <c r="A4" s="139" t="s">
        <v>439</v>
      </c>
      <c r="B4" s="140"/>
      <c r="C4" s="140"/>
      <c r="D4" s="140"/>
      <c r="E4" s="140"/>
      <c r="F4" s="140"/>
      <c r="G4" s="140"/>
      <c r="H4" s="140"/>
      <c r="I4" s="140"/>
      <c r="J4" s="140"/>
      <c r="K4" s="140"/>
      <c r="L4" s="140"/>
      <c r="M4" s="140"/>
      <c r="N4" s="140"/>
      <c r="O4" s="140"/>
      <c r="P4" s="140"/>
    </row>
    <row r="5" spans="1:16" s="49" customFormat="1" x14ac:dyDescent="0.25">
      <c r="A5" s="139" t="s">
        <v>16</v>
      </c>
      <c r="B5" s="140"/>
      <c r="C5" s="140"/>
      <c r="D5" s="140"/>
      <c r="E5" s="140"/>
      <c r="F5" s="140"/>
      <c r="G5" s="140"/>
      <c r="H5" s="140"/>
      <c r="I5" s="140"/>
      <c r="J5" s="140"/>
      <c r="K5" s="140"/>
      <c r="L5" s="140"/>
      <c r="M5" s="140"/>
      <c r="N5" s="140"/>
      <c r="O5" s="140"/>
      <c r="P5" s="140"/>
    </row>
    <row r="6" spans="1:16" s="126" customFormat="1" ht="108" customHeight="1" outlineLevel="1" x14ac:dyDescent="0.25">
      <c r="A6" s="56">
        <f>MAX($A$1:A5)+1</f>
        <v>1</v>
      </c>
      <c r="B6" s="57" t="s">
        <v>1972</v>
      </c>
      <c r="C6" s="53" t="str">
        <f t="shared" ref="C6:C18" si="0" xml:space="preserve"> "Diag_0x31_Phy_" &amp; TEXT(A6, "000")</f>
        <v>Diag_0x31_Phy_001</v>
      </c>
      <c r="D6" s="9" t="s">
        <v>1973</v>
      </c>
      <c r="E6" s="58" t="s">
        <v>55</v>
      </c>
      <c r="F6" s="9" t="s">
        <v>21</v>
      </c>
      <c r="G6" s="9" t="s">
        <v>1974</v>
      </c>
      <c r="H6" s="59" t="s">
        <v>1975</v>
      </c>
      <c r="I6" s="57" t="s">
        <v>1976</v>
      </c>
      <c r="J6" s="71" t="s">
        <v>2042</v>
      </c>
      <c r="K6" s="104"/>
      <c r="L6" s="46"/>
      <c r="M6" s="105"/>
      <c r="N6" s="124"/>
      <c r="O6" s="125"/>
      <c r="P6" s="125"/>
    </row>
    <row r="7" spans="1:16" s="126" customFormat="1" ht="66" outlineLevel="1" x14ac:dyDescent="0.25">
      <c r="A7" s="56">
        <f>MAX($A$1:A6)+1</f>
        <v>2</v>
      </c>
      <c r="B7" s="57" t="s">
        <v>981</v>
      </c>
      <c r="C7" s="53" t="str">
        <f t="shared" si="0"/>
        <v>Diag_0x31_Phy_002</v>
      </c>
      <c r="D7" s="9" t="s">
        <v>1977</v>
      </c>
      <c r="E7" s="58" t="s">
        <v>55</v>
      </c>
      <c r="F7" s="9" t="s">
        <v>21</v>
      </c>
      <c r="G7" s="9" t="s">
        <v>1095</v>
      </c>
      <c r="H7" s="59" t="s">
        <v>1975</v>
      </c>
      <c r="I7" s="57" t="s">
        <v>2037</v>
      </c>
      <c r="J7" s="71" t="s">
        <v>2046</v>
      </c>
      <c r="K7" s="104"/>
      <c r="L7" s="46"/>
      <c r="M7" s="105"/>
      <c r="N7" s="124"/>
      <c r="O7" s="125"/>
      <c r="P7" s="125"/>
    </row>
    <row r="8" spans="1:16" s="126" customFormat="1" ht="130.19999999999999" customHeight="1" outlineLevel="1" x14ac:dyDescent="0.25">
      <c r="A8" s="56">
        <f>MAX($A$1:A7)+1</f>
        <v>3</v>
      </c>
      <c r="B8" s="57" t="s">
        <v>1972</v>
      </c>
      <c r="C8" s="53" t="str">
        <f t="shared" si="0"/>
        <v>Diag_0x31_Phy_003</v>
      </c>
      <c r="D8" s="10" t="s">
        <v>1978</v>
      </c>
      <c r="E8" s="58" t="s">
        <v>20</v>
      </c>
      <c r="F8" s="9" t="s">
        <v>21</v>
      </c>
      <c r="G8" s="9" t="s">
        <v>1095</v>
      </c>
      <c r="H8" s="59" t="s">
        <v>1979</v>
      </c>
      <c r="I8" s="117" t="s">
        <v>1980</v>
      </c>
      <c r="J8" s="118" t="s">
        <v>2047</v>
      </c>
      <c r="K8" s="106"/>
      <c r="L8" s="46"/>
      <c r="M8" s="107"/>
      <c r="N8" s="124"/>
      <c r="O8" s="125"/>
      <c r="P8" s="125"/>
    </row>
    <row r="9" spans="1:16" s="126" customFormat="1" ht="66" outlineLevel="1" x14ac:dyDescent="0.25">
      <c r="A9" s="56">
        <f>MAX($A$1:A8)+1</f>
        <v>4</v>
      </c>
      <c r="B9" s="57" t="s">
        <v>981</v>
      </c>
      <c r="C9" s="53" t="str">
        <f t="shared" si="0"/>
        <v>Diag_0x31_Phy_004</v>
      </c>
      <c r="D9" s="10" t="s">
        <v>1981</v>
      </c>
      <c r="E9" s="58" t="s">
        <v>55</v>
      </c>
      <c r="F9" s="9" t="s">
        <v>21</v>
      </c>
      <c r="G9" s="9" t="s">
        <v>1095</v>
      </c>
      <c r="H9" s="59" t="s">
        <v>983</v>
      </c>
      <c r="I9" s="117" t="s">
        <v>1982</v>
      </c>
      <c r="J9" s="118" t="s">
        <v>2038</v>
      </c>
      <c r="K9" s="106"/>
      <c r="L9" s="46"/>
      <c r="M9" s="107"/>
      <c r="N9" s="124"/>
      <c r="O9" s="125"/>
      <c r="P9" s="125"/>
    </row>
    <row r="10" spans="1:16" s="126" customFormat="1" ht="66" outlineLevel="1" x14ac:dyDescent="0.25">
      <c r="A10" s="56">
        <f>MAX($A$1:A9)+1</f>
        <v>5</v>
      </c>
      <c r="B10" s="57" t="s">
        <v>1972</v>
      </c>
      <c r="C10" s="53" t="str">
        <f t="shared" si="0"/>
        <v>Diag_0x31_Phy_005</v>
      </c>
      <c r="D10" s="10" t="s">
        <v>1983</v>
      </c>
      <c r="E10" s="58" t="s">
        <v>55</v>
      </c>
      <c r="F10" s="9" t="s">
        <v>21</v>
      </c>
      <c r="G10" s="9" t="s">
        <v>1974</v>
      </c>
      <c r="H10" s="59" t="s">
        <v>1984</v>
      </c>
      <c r="I10" s="117" t="s">
        <v>1985</v>
      </c>
      <c r="J10" s="118" t="s">
        <v>2038</v>
      </c>
      <c r="K10" s="106"/>
      <c r="L10" s="46"/>
      <c r="M10" s="107"/>
      <c r="N10" s="124"/>
      <c r="O10" s="125"/>
      <c r="P10" s="125"/>
    </row>
    <row r="11" spans="1:16" s="126" customFormat="1" ht="66" outlineLevel="1" x14ac:dyDescent="0.25">
      <c r="A11" s="56">
        <f>MAX($A$1:A10)+1</f>
        <v>6</v>
      </c>
      <c r="B11" s="57" t="s">
        <v>981</v>
      </c>
      <c r="C11" s="53" t="str">
        <f t="shared" si="0"/>
        <v>Diag_0x31_Phy_006</v>
      </c>
      <c r="D11" s="10" t="s">
        <v>1986</v>
      </c>
      <c r="E11" s="58" t="s">
        <v>55</v>
      </c>
      <c r="F11" s="9" t="s">
        <v>21</v>
      </c>
      <c r="G11" s="9" t="s">
        <v>1974</v>
      </c>
      <c r="H11" s="59" t="s">
        <v>1984</v>
      </c>
      <c r="I11" s="117" t="s">
        <v>1987</v>
      </c>
      <c r="J11" s="118" t="s">
        <v>2038</v>
      </c>
      <c r="K11" s="106"/>
      <c r="L11" s="46"/>
      <c r="M11" s="107"/>
      <c r="N11" s="124"/>
      <c r="O11" s="125"/>
      <c r="P11" s="125"/>
    </row>
    <row r="12" spans="1:16" s="126" customFormat="1" ht="66" outlineLevel="1" x14ac:dyDescent="0.25">
      <c r="A12" s="56">
        <f>MAX($A$1:A11)+1</f>
        <v>7</v>
      </c>
      <c r="B12" s="57" t="s">
        <v>981</v>
      </c>
      <c r="C12" s="53" t="str">
        <f t="shared" si="0"/>
        <v>Diag_0x31_Phy_007</v>
      </c>
      <c r="D12" s="10" t="s">
        <v>1988</v>
      </c>
      <c r="E12" s="58" t="s">
        <v>55</v>
      </c>
      <c r="F12" s="9" t="s">
        <v>21</v>
      </c>
      <c r="G12" s="9" t="s">
        <v>1974</v>
      </c>
      <c r="H12" s="59" t="s">
        <v>983</v>
      </c>
      <c r="I12" s="117" t="s">
        <v>1989</v>
      </c>
      <c r="J12" s="118" t="s">
        <v>2038</v>
      </c>
      <c r="K12" s="106"/>
      <c r="L12" s="46"/>
      <c r="M12" s="107"/>
      <c r="N12" s="124"/>
      <c r="O12" s="125"/>
      <c r="P12" s="125"/>
    </row>
    <row r="13" spans="1:16" s="126" customFormat="1" ht="66" outlineLevel="1" x14ac:dyDescent="0.25">
      <c r="A13" s="56">
        <f>MAX($A$1:A12)+1</f>
        <v>8</v>
      </c>
      <c r="B13" s="57" t="s">
        <v>981</v>
      </c>
      <c r="C13" s="53" t="str">
        <f t="shared" si="0"/>
        <v>Diag_0x31_Phy_008</v>
      </c>
      <c r="D13" s="10" t="s">
        <v>1990</v>
      </c>
      <c r="E13" s="58" t="s">
        <v>55</v>
      </c>
      <c r="F13" s="9" t="s">
        <v>21</v>
      </c>
      <c r="G13" s="9" t="s">
        <v>1095</v>
      </c>
      <c r="H13" s="59" t="s">
        <v>1991</v>
      </c>
      <c r="I13" s="117" t="s">
        <v>1992</v>
      </c>
      <c r="J13" s="118" t="s">
        <v>2038</v>
      </c>
      <c r="K13" s="106"/>
      <c r="L13" s="46"/>
      <c r="M13" s="107"/>
      <c r="N13" s="124"/>
      <c r="O13" s="125"/>
      <c r="P13" s="125"/>
    </row>
    <row r="14" spans="1:16" s="126" customFormat="1" ht="66" outlineLevel="1" x14ac:dyDescent="0.25">
      <c r="A14" s="56">
        <f>MAX($A$1:A13)+1</f>
        <v>9</v>
      </c>
      <c r="B14" s="57" t="s">
        <v>1993</v>
      </c>
      <c r="C14" s="53" t="str">
        <f t="shared" si="0"/>
        <v>Diag_0x31_Phy_009</v>
      </c>
      <c r="D14" s="10" t="s">
        <v>1994</v>
      </c>
      <c r="E14" s="58" t="s">
        <v>55</v>
      </c>
      <c r="F14" s="9" t="s">
        <v>21</v>
      </c>
      <c r="G14" s="9" t="s">
        <v>1995</v>
      </c>
      <c r="H14" s="59" t="s">
        <v>1991</v>
      </c>
      <c r="I14" s="117" t="s">
        <v>1996</v>
      </c>
      <c r="J14" s="118" t="s">
        <v>2038</v>
      </c>
      <c r="K14" s="106"/>
      <c r="L14" s="46"/>
      <c r="M14" s="107"/>
      <c r="N14" s="124"/>
      <c r="O14" s="125"/>
      <c r="P14" s="125"/>
    </row>
    <row r="15" spans="1:16" s="126" customFormat="1" ht="66" outlineLevel="1" x14ac:dyDescent="0.25">
      <c r="A15" s="56">
        <f>MAX($A$1:A14)+1</f>
        <v>10</v>
      </c>
      <c r="B15" s="57" t="s">
        <v>1972</v>
      </c>
      <c r="C15" s="53" t="str">
        <f t="shared" si="0"/>
        <v>Diag_0x31_Phy_010</v>
      </c>
      <c r="D15" s="10" t="s">
        <v>1997</v>
      </c>
      <c r="E15" s="58" t="s">
        <v>55</v>
      </c>
      <c r="F15" s="9" t="s">
        <v>21</v>
      </c>
      <c r="G15" s="9" t="s">
        <v>1974</v>
      </c>
      <c r="H15" s="59" t="s">
        <v>1984</v>
      </c>
      <c r="I15" s="117" t="s">
        <v>1998</v>
      </c>
      <c r="J15" s="118" t="s">
        <v>2038</v>
      </c>
      <c r="K15" s="106"/>
      <c r="L15" s="46"/>
      <c r="M15" s="107"/>
      <c r="N15" s="124"/>
      <c r="O15" s="125"/>
      <c r="P15" s="125"/>
    </row>
    <row r="16" spans="1:16" s="126" customFormat="1" ht="66" outlineLevel="1" x14ac:dyDescent="0.25">
      <c r="A16" s="56">
        <f>MAX($A$1:A15)+1</f>
        <v>11</v>
      </c>
      <c r="B16" s="57" t="s">
        <v>1972</v>
      </c>
      <c r="C16" s="53" t="str">
        <f t="shared" si="0"/>
        <v>Diag_0x31_Phy_011</v>
      </c>
      <c r="D16" s="10" t="s">
        <v>1999</v>
      </c>
      <c r="E16" s="58" t="s">
        <v>55</v>
      </c>
      <c r="F16" s="9" t="s">
        <v>21</v>
      </c>
      <c r="G16" s="9" t="s">
        <v>2000</v>
      </c>
      <c r="H16" s="59" t="s">
        <v>1984</v>
      </c>
      <c r="I16" s="117" t="s">
        <v>2001</v>
      </c>
      <c r="J16" s="118" t="s">
        <v>2039</v>
      </c>
      <c r="K16" s="106"/>
      <c r="L16" s="46"/>
      <c r="M16" s="107"/>
      <c r="N16" s="124"/>
      <c r="O16" s="125"/>
      <c r="P16" s="125"/>
    </row>
    <row r="17" spans="1:16" s="126" customFormat="1" ht="66" outlineLevel="1" x14ac:dyDescent="0.25">
      <c r="A17" s="56">
        <f>MAX($A$1:A16)+1</f>
        <v>12</v>
      </c>
      <c r="B17" s="57" t="s">
        <v>1972</v>
      </c>
      <c r="C17" s="53" t="str">
        <f t="shared" si="0"/>
        <v>Diag_0x31_Phy_012</v>
      </c>
      <c r="D17" s="10" t="s">
        <v>2002</v>
      </c>
      <c r="E17" s="58" t="s">
        <v>55</v>
      </c>
      <c r="F17" s="9" t="s">
        <v>21</v>
      </c>
      <c r="G17" s="9" t="s">
        <v>2003</v>
      </c>
      <c r="H17" s="59" t="s">
        <v>1984</v>
      </c>
      <c r="I17" s="117" t="s">
        <v>2004</v>
      </c>
      <c r="J17" s="118" t="s">
        <v>2048</v>
      </c>
      <c r="K17" s="108"/>
      <c r="L17" s="46"/>
      <c r="M17" s="109"/>
      <c r="N17" s="124"/>
      <c r="O17" s="125"/>
      <c r="P17" s="125"/>
    </row>
    <row r="18" spans="1:16" s="126" customFormat="1" ht="79.2" outlineLevel="1" x14ac:dyDescent="0.25">
      <c r="A18" s="56">
        <f>MAX($A$1:A17)+1</f>
        <v>13</v>
      </c>
      <c r="B18" s="57" t="s">
        <v>1993</v>
      </c>
      <c r="C18" s="53" t="str">
        <f t="shared" si="0"/>
        <v>Diag_0x31_Phy_013</v>
      </c>
      <c r="D18" s="10" t="s">
        <v>2005</v>
      </c>
      <c r="E18" s="58" t="s">
        <v>55</v>
      </c>
      <c r="F18" s="9" t="s">
        <v>21</v>
      </c>
      <c r="G18" s="9" t="s">
        <v>2000</v>
      </c>
      <c r="H18" s="59" t="s">
        <v>983</v>
      </c>
      <c r="I18" s="117" t="s">
        <v>2006</v>
      </c>
      <c r="J18" s="118" t="s">
        <v>2049</v>
      </c>
      <c r="K18" s="106"/>
      <c r="L18" s="46"/>
      <c r="M18" s="107"/>
      <c r="N18" s="124"/>
      <c r="O18" s="125"/>
      <c r="P18" s="125"/>
    </row>
    <row r="19" spans="1:16" s="130" customFormat="1" ht="16.5" customHeight="1" x14ac:dyDescent="0.25">
      <c r="A19" s="146" t="s">
        <v>1760</v>
      </c>
      <c r="B19" s="146"/>
      <c r="C19" s="146"/>
      <c r="D19" s="146"/>
      <c r="E19" s="146"/>
      <c r="F19" s="146"/>
      <c r="G19" s="146"/>
      <c r="H19" s="146"/>
      <c r="I19" s="146"/>
      <c r="J19" s="146"/>
      <c r="K19" s="146"/>
      <c r="L19" s="146"/>
      <c r="M19" s="146"/>
    </row>
    <row r="20" spans="1:16" s="126" customFormat="1" ht="92.4" outlineLevel="1" x14ac:dyDescent="0.25">
      <c r="A20" s="56">
        <f>MAX($A$1:A19)+1</f>
        <v>14</v>
      </c>
      <c r="B20" s="57" t="s">
        <v>2007</v>
      </c>
      <c r="C20" s="53" t="str">
        <f xml:space="preserve"> "Diag_0x31_Phy_" &amp; TEXT(A20, "000")</f>
        <v>Diag_0x31_Phy_014</v>
      </c>
      <c r="D20" s="9" t="s">
        <v>2008</v>
      </c>
      <c r="E20" s="58" t="s">
        <v>20</v>
      </c>
      <c r="F20" s="9" t="s">
        <v>21</v>
      </c>
      <c r="G20" s="9" t="s">
        <v>1095</v>
      </c>
      <c r="H20" s="59" t="s">
        <v>1991</v>
      </c>
      <c r="I20" s="57" t="s">
        <v>2009</v>
      </c>
      <c r="J20" s="119" t="s">
        <v>2052</v>
      </c>
      <c r="K20" s="104"/>
      <c r="L20" s="46"/>
      <c r="M20" s="105"/>
      <c r="N20" s="124"/>
      <c r="O20" s="125"/>
      <c r="P20" s="125"/>
    </row>
    <row r="21" spans="1:16" s="128" customFormat="1" ht="16.5" customHeight="1" x14ac:dyDescent="0.25">
      <c r="A21" s="146" t="s">
        <v>1765</v>
      </c>
      <c r="B21" s="146"/>
      <c r="C21" s="146"/>
      <c r="D21" s="146"/>
      <c r="E21" s="146"/>
      <c r="F21" s="146"/>
      <c r="G21" s="146"/>
      <c r="H21" s="146"/>
      <c r="I21" s="146"/>
      <c r="J21" s="146"/>
      <c r="K21" s="146"/>
      <c r="L21" s="146"/>
      <c r="M21" s="146"/>
    </row>
    <row r="22" spans="1:16" s="126" customFormat="1" ht="52.8" outlineLevel="1" x14ac:dyDescent="0.25">
      <c r="A22" s="56">
        <f>MAX($A$1:A21)+1</f>
        <v>15</v>
      </c>
      <c r="B22" s="57" t="s">
        <v>1993</v>
      </c>
      <c r="C22" s="53" t="str">
        <f xml:space="preserve"> "Diag_0x31_Phy_" &amp; TEXT(A22, "000")</f>
        <v>Diag_0x31_Phy_015</v>
      </c>
      <c r="D22" s="53" t="s">
        <v>2010</v>
      </c>
      <c r="E22" s="58" t="s">
        <v>55</v>
      </c>
      <c r="F22" s="9" t="s">
        <v>21</v>
      </c>
      <c r="G22" s="9" t="s">
        <v>1095</v>
      </c>
      <c r="H22" s="59" t="s">
        <v>1975</v>
      </c>
      <c r="I22" s="57" t="s">
        <v>2011</v>
      </c>
      <c r="J22" s="71" t="s">
        <v>2051</v>
      </c>
      <c r="K22" s="104"/>
      <c r="L22" s="46"/>
      <c r="M22" s="160"/>
      <c r="N22" s="124"/>
      <c r="O22" s="125"/>
      <c r="P22" s="125"/>
    </row>
    <row r="23" spans="1:16" s="128" customFormat="1" ht="16.5" customHeight="1" x14ac:dyDescent="0.25">
      <c r="A23" s="146" t="s">
        <v>2012</v>
      </c>
      <c r="B23" s="146"/>
      <c r="C23" s="146"/>
      <c r="D23" s="146"/>
      <c r="E23" s="146"/>
      <c r="F23" s="146"/>
      <c r="G23" s="146"/>
      <c r="H23" s="146"/>
      <c r="I23" s="146"/>
      <c r="J23" s="146"/>
      <c r="K23" s="146"/>
      <c r="L23" s="146"/>
      <c r="M23" s="146"/>
    </row>
    <row r="24" spans="1:16" s="126" customFormat="1" ht="79.2" outlineLevel="1" x14ac:dyDescent="0.25">
      <c r="A24" s="56">
        <f>MAX($A$1:A23)+1</f>
        <v>16</v>
      </c>
      <c r="B24" s="57" t="s">
        <v>1972</v>
      </c>
      <c r="C24" s="53" t="str">
        <f xml:space="preserve"> "Diag_0x31_Phy_" &amp; TEXT(A24, "000")</f>
        <v>Diag_0x31_Phy_016</v>
      </c>
      <c r="D24" s="10" t="s">
        <v>2013</v>
      </c>
      <c r="E24" s="58" t="s">
        <v>55</v>
      </c>
      <c r="F24" s="9" t="s">
        <v>21</v>
      </c>
      <c r="G24" s="9" t="s">
        <v>982</v>
      </c>
      <c r="H24" s="59" t="s">
        <v>983</v>
      </c>
      <c r="I24" s="57" t="s">
        <v>2014</v>
      </c>
      <c r="J24" s="71" t="s">
        <v>2050</v>
      </c>
      <c r="K24" s="104"/>
      <c r="L24" s="46"/>
      <c r="M24" s="105"/>
      <c r="N24" s="124"/>
      <c r="O24" s="125"/>
      <c r="P24" s="125"/>
    </row>
    <row r="25" spans="1:16" s="126" customFormat="1" ht="79.2" outlineLevel="1" x14ac:dyDescent="0.25">
      <c r="A25" s="56">
        <f>MAX($A$1:A24)+1</f>
        <v>17</v>
      </c>
      <c r="B25" s="57" t="s">
        <v>1993</v>
      </c>
      <c r="C25" s="53" t="str">
        <f t="shared" ref="C25:C27" si="1" xml:space="preserve"> "Diag_0x31_Phy_" &amp; TEXT(A25, "000")</f>
        <v>Diag_0x31_Phy_017</v>
      </c>
      <c r="D25" s="10" t="s">
        <v>2015</v>
      </c>
      <c r="E25" s="58" t="s">
        <v>55</v>
      </c>
      <c r="F25" s="9" t="s">
        <v>21</v>
      </c>
      <c r="G25" s="9" t="s">
        <v>2016</v>
      </c>
      <c r="H25" s="59" t="s">
        <v>983</v>
      </c>
      <c r="I25" s="57" t="s">
        <v>2017</v>
      </c>
      <c r="J25" s="71" t="s">
        <v>2040</v>
      </c>
      <c r="K25" s="104"/>
      <c r="L25" s="46"/>
      <c r="M25" s="105"/>
      <c r="N25" s="124"/>
      <c r="O25" s="125"/>
      <c r="P25" s="125"/>
    </row>
    <row r="26" spans="1:16" s="126" customFormat="1" ht="79.2" outlineLevel="1" x14ac:dyDescent="0.25">
      <c r="A26" s="56">
        <f>MAX($A$1:A25)+1</f>
        <v>18</v>
      </c>
      <c r="B26" s="57" t="s">
        <v>1993</v>
      </c>
      <c r="C26" s="53" t="str">
        <f t="shared" si="1"/>
        <v>Diag_0x31_Phy_018</v>
      </c>
      <c r="D26" s="10" t="s">
        <v>2058</v>
      </c>
      <c r="E26" s="58" t="s">
        <v>55</v>
      </c>
      <c r="F26" s="9" t="s">
        <v>21</v>
      </c>
      <c r="G26" s="9" t="s">
        <v>2000</v>
      </c>
      <c r="H26" s="59" t="s">
        <v>983</v>
      </c>
      <c r="I26" s="57" t="s">
        <v>2054</v>
      </c>
      <c r="J26" s="71" t="s">
        <v>2055</v>
      </c>
      <c r="K26" s="104"/>
      <c r="L26" s="46"/>
      <c r="M26" s="105"/>
      <c r="N26" s="124"/>
      <c r="O26" s="125"/>
      <c r="P26" s="125"/>
    </row>
    <row r="27" spans="1:16" s="126" customFormat="1" ht="79.2" outlineLevel="1" x14ac:dyDescent="0.25">
      <c r="A27" s="56">
        <f>MAX($A$1:A26)+1</f>
        <v>19</v>
      </c>
      <c r="B27" s="57" t="s">
        <v>1993</v>
      </c>
      <c r="C27" s="53" t="str">
        <f t="shared" si="1"/>
        <v>Diag_0x31_Phy_019</v>
      </c>
      <c r="D27" s="10" t="s">
        <v>2059</v>
      </c>
      <c r="E27" s="58" t="s">
        <v>55</v>
      </c>
      <c r="F27" s="9" t="s">
        <v>21</v>
      </c>
      <c r="G27" s="9" t="s">
        <v>2000</v>
      </c>
      <c r="H27" s="59" t="s">
        <v>983</v>
      </c>
      <c r="I27" s="57" t="s">
        <v>2056</v>
      </c>
      <c r="J27" s="71" t="s">
        <v>2057</v>
      </c>
      <c r="K27" s="104"/>
      <c r="L27" s="46"/>
      <c r="M27" s="105"/>
      <c r="N27" s="124"/>
      <c r="O27" s="125"/>
      <c r="P27" s="125"/>
    </row>
    <row r="28" spans="1:16" s="128" customFormat="1" ht="16.5" customHeight="1" x14ac:dyDescent="0.25">
      <c r="A28" s="146" t="s">
        <v>2018</v>
      </c>
      <c r="B28" s="146"/>
      <c r="C28" s="146"/>
      <c r="D28" s="146"/>
      <c r="E28" s="146"/>
      <c r="F28" s="146"/>
      <c r="G28" s="146"/>
      <c r="H28" s="146"/>
      <c r="I28" s="146"/>
      <c r="J28" s="146"/>
      <c r="K28" s="146"/>
      <c r="L28" s="146"/>
      <c r="M28" s="146"/>
    </row>
    <row r="29" spans="1:16" s="128" customFormat="1" ht="16.5" customHeight="1" x14ac:dyDescent="0.25">
      <c r="A29" s="146" t="s">
        <v>88</v>
      </c>
      <c r="B29" s="146"/>
      <c r="C29" s="146"/>
      <c r="D29" s="146"/>
      <c r="E29" s="146"/>
      <c r="F29" s="146"/>
      <c r="G29" s="146"/>
      <c r="H29" s="146"/>
      <c r="I29" s="146"/>
      <c r="J29" s="146"/>
      <c r="K29" s="146"/>
      <c r="L29" s="146"/>
      <c r="M29" s="146"/>
    </row>
    <row r="30" spans="1:16" s="126" customFormat="1" ht="52.8" outlineLevel="1" x14ac:dyDescent="0.25">
      <c r="A30" s="56">
        <f>MAX($A$1:A29)+1</f>
        <v>20</v>
      </c>
      <c r="B30" s="57" t="s">
        <v>981</v>
      </c>
      <c r="C30" s="53" t="str">
        <f xml:space="preserve"> "Diag_0x31_Fun_" &amp; TEXT(A30, "000")</f>
        <v>Diag_0x31_Fun_020</v>
      </c>
      <c r="D30" s="9" t="s">
        <v>2019</v>
      </c>
      <c r="E30" s="58" t="s">
        <v>55</v>
      </c>
      <c r="F30" s="9" t="s">
        <v>21</v>
      </c>
      <c r="G30" s="9" t="s">
        <v>1095</v>
      </c>
      <c r="H30" s="59" t="s">
        <v>1486</v>
      </c>
      <c r="I30" s="57" t="s">
        <v>2020</v>
      </c>
      <c r="J30" s="71" t="s">
        <v>2041</v>
      </c>
      <c r="K30" s="104"/>
      <c r="L30" s="46"/>
      <c r="M30" s="105"/>
      <c r="N30" s="124"/>
      <c r="O30" s="125"/>
      <c r="P30" s="125"/>
    </row>
    <row r="31" spans="1:16" s="120" customFormat="1" ht="16.5" customHeight="1" x14ac:dyDescent="0.25">
      <c r="A31" s="147" t="s">
        <v>2021</v>
      </c>
      <c r="B31" s="148"/>
      <c r="C31" s="148"/>
      <c r="D31" s="148"/>
      <c r="E31" s="148"/>
      <c r="F31" s="148"/>
      <c r="G31" s="148"/>
      <c r="H31" s="148"/>
      <c r="I31" s="148"/>
      <c r="J31" s="148"/>
      <c r="K31" s="148"/>
      <c r="L31" s="148"/>
      <c r="M31" s="149"/>
      <c r="O31" s="123"/>
      <c r="P31" s="123"/>
    </row>
    <row r="32" spans="1:16" s="120" customFormat="1" ht="16.5" customHeight="1" x14ac:dyDescent="0.25">
      <c r="A32" s="147" t="s">
        <v>1265</v>
      </c>
      <c r="B32" s="148"/>
      <c r="C32" s="148"/>
      <c r="D32" s="148"/>
      <c r="E32" s="148"/>
      <c r="F32" s="148"/>
      <c r="G32" s="148"/>
      <c r="H32" s="148"/>
      <c r="I32" s="148"/>
      <c r="J32" s="148"/>
      <c r="K32" s="148"/>
      <c r="L32" s="148"/>
      <c r="M32" s="149"/>
      <c r="O32" s="123"/>
      <c r="P32" s="123"/>
    </row>
    <row r="33" spans="1:16" s="126" customFormat="1" ht="52.8" outlineLevel="1" x14ac:dyDescent="0.25">
      <c r="A33" s="56">
        <f>MAX($A$1:A32)+1</f>
        <v>21</v>
      </c>
      <c r="B33" s="57" t="s">
        <v>2022</v>
      </c>
      <c r="C33" s="53" t="str">
        <f t="shared" ref="C33:C45" si="2" xml:space="preserve"> "Diag_0x31_Phy_" &amp; TEXT(A33, "000")</f>
        <v>Diag_0x31_Phy_021</v>
      </c>
      <c r="D33" s="9" t="s">
        <v>2023</v>
      </c>
      <c r="E33" s="58" t="s">
        <v>55</v>
      </c>
      <c r="F33" s="9" t="s">
        <v>21</v>
      </c>
      <c r="G33" s="9" t="s">
        <v>1095</v>
      </c>
      <c r="H33" s="59" t="s">
        <v>1486</v>
      </c>
      <c r="I33" s="57" t="s">
        <v>1976</v>
      </c>
      <c r="J33" s="71" t="s">
        <v>2042</v>
      </c>
      <c r="K33" s="104"/>
      <c r="L33" s="46"/>
      <c r="M33" s="105"/>
      <c r="N33" s="124"/>
      <c r="O33" s="125"/>
      <c r="P33" s="125"/>
    </row>
    <row r="34" spans="1:16" s="126" customFormat="1" ht="88.2" customHeight="1" outlineLevel="1" x14ac:dyDescent="0.25">
      <c r="A34" s="56">
        <f>MAX($A$1:A33)+1</f>
        <v>22</v>
      </c>
      <c r="B34" s="57" t="s">
        <v>1993</v>
      </c>
      <c r="C34" s="53" t="str">
        <f t="shared" si="2"/>
        <v>Diag_0x31_Phy_022</v>
      </c>
      <c r="D34" s="9" t="s">
        <v>1977</v>
      </c>
      <c r="E34" s="58" t="s">
        <v>55</v>
      </c>
      <c r="F34" s="9" t="s">
        <v>21</v>
      </c>
      <c r="G34" s="9" t="s">
        <v>1095</v>
      </c>
      <c r="H34" s="59" t="s">
        <v>1486</v>
      </c>
      <c r="I34" s="57" t="s">
        <v>2053</v>
      </c>
      <c r="J34" s="71" t="s">
        <v>2046</v>
      </c>
      <c r="K34" s="104"/>
      <c r="L34" s="46"/>
      <c r="M34" s="105"/>
      <c r="N34" s="124"/>
      <c r="O34" s="125"/>
      <c r="P34" s="125"/>
    </row>
    <row r="35" spans="1:16" s="126" customFormat="1" ht="79.2" outlineLevel="1" x14ac:dyDescent="0.25">
      <c r="A35" s="56">
        <f>MAX($A$1:A34)+1</f>
        <v>23</v>
      </c>
      <c r="B35" s="57" t="s">
        <v>981</v>
      </c>
      <c r="C35" s="53" t="str">
        <f t="shared" si="2"/>
        <v>Diag_0x31_Phy_023</v>
      </c>
      <c r="D35" s="10" t="s">
        <v>2024</v>
      </c>
      <c r="E35" s="58" t="s">
        <v>20</v>
      </c>
      <c r="F35" s="9" t="s">
        <v>21</v>
      </c>
      <c r="G35" s="9" t="s">
        <v>1095</v>
      </c>
      <c r="H35" s="59" t="s">
        <v>983</v>
      </c>
      <c r="I35" s="117" t="s">
        <v>1980</v>
      </c>
      <c r="J35" s="118" t="s">
        <v>2047</v>
      </c>
      <c r="K35" s="106"/>
      <c r="L35" s="46"/>
      <c r="M35" s="107"/>
      <c r="N35" s="124"/>
      <c r="O35" s="125"/>
      <c r="P35" s="125"/>
    </row>
    <row r="36" spans="1:16" s="126" customFormat="1" ht="66" outlineLevel="1" x14ac:dyDescent="0.25">
      <c r="A36" s="56">
        <f>MAX($A$1:A35)+1</f>
        <v>24</v>
      </c>
      <c r="B36" s="57" t="s">
        <v>981</v>
      </c>
      <c r="C36" s="53" t="str">
        <f t="shared" si="2"/>
        <v>Diag_0x31_Phy_024</v>
      </c>
      <c r="D36" s="10" t="s">
        <v>1981</v>
      </c>
      <c r="E36" s="58" t="s">
        <v>55</v>
      </c>
      <c r="F36" s="9" t="s">
        <v>21</v>
      </c>
      <c r="G36" s="9" t="s">
        <v>1095</v>
      </c>
      <c r="H36" s="59" t="s">
        <v>983</v>
      </c>
      <c r="I36" s="117" t="s">
        <v>1982</v>
      </c>
      <c r="J36" s="118" t="s">
        <v>2038</v>
      </c>
      <c r="K36" s="104"/>
      <c r="L36" s="46"/>
      <c r="M36" s="105"/>
      <c r="N36" s="124"/>
      <c r="O36" s="125"/>
      <c r="P36" s="125"/>
    </row>
    <row r="37" spans="1:16" s="126" customFormat="1" ht="66" outlineLevel="1" x14ac:dyDescent="0.25">
      <c r="A37" s="56">
        <f>MAX($A$1:A36)+1</f>
        <v>25</v>
      </c>
      <c r="B37" s="57" t="s">
        <v>1972</v>
      </c>
      <c r="C37" s="53" t="str">
        <f t="shared" si="2"/>
        <v>Diag_0x31_Phy_025</v>
      </c>
      <c r="D37" s="10" t="s">
        <v>1983</v>
      </c>
      <c r="E37" s="58" t="s">
        <v>55</v>
      </c>
      <c r="F37" s="9" t="s">
        <v>21</v>
      </c>
      <c r="G37" s="9" t="s">
        <v>1974</v>
      </c>
      <c r="H37" s="59" t="s">
        <v>1984</v>
      </c>
      <c r="I37" s="117" t="s">
        <v>1985</v>
      </c>
      <c r="J37" s="118" t="s">
        <v>2038</v>
      </c>
      <c r="K37" s="104"/>
      <c r="L37" s="46"/>
      <c r="M37" s="105"/>
      <c r="N37" s="124"/>
      <c r="O37" s="125"/>
      <c r="P37" s="125"/>
    </row>
    <row r="38" spans="1:16" s="126" customFormat="1" ht="66" outlineLevel="1" x14ac:dyDescent="0.25">
      <c r="A38" s="56">
        <f>MAX($A$1:A37)+1</f>
        <v>26</v>
      </c>
      <c r="B38" s="57" t="s">
        <v>981</v>
      </c>
      <c r="C38" s="53" t="str">
        <f t="shared" si="2"/>
        <v>Diag_0x31_Phy_026</v>
      </c>
      <c r="D38" s="10" t="s">
        <v>1986</v>
      </c>
      <c r="E38" s="58" t="s">
        <v>55</v>
      </c>
      <c r="F38" s="9" t="s">
        <v>21</v>
      </c>
      <c r="G38" s="9" t="s">
        <v>1974</v>
      </c>
      <c r="H38" s="59" t="s">
        <v>1984</v>
      </c>
      <c r="I38" s="117" t="s">
        <v>1987</v>
      </c>
      <c r="J38" s="118" t="s">
        <v>2038</v>
      </c>
      <c r="K38" s="106"/>
      <c r="L38" s="46"/>
      <c r="M38" s="107"/>
      <c r="N38" s="124"/>
      <c r="O38" s="125"/>
      <c r="P38" s="125"/>
    </row>
    <row r="39" spans="1:16" s="126" customFormat="1" ht="66" outlineLevel="1" x14ac:dyDescent="0.25">
      <c r="A39" s="56">
        <f>MAX($A$1:A38)+1</f>
        <v>27</v>
      </c>
      <c r="B39" s="57" t="s">
        <v>981</v>
      </c>
      <c r="C39" s="53" t="str">
        <f t="shared" si="2"/>
        <v>Diag_0x31_Phy_027</v>
      </c>
      <c r="D39" s="10" t="s">
        <v>1988</v>
      </c>
      <c r="E39" s="58" t="s">
        <v>55</v>
      </c>
      <c r="F39" s="9" t="s">
        <v>21</v>
      </c>
      <c r="G39" s="9" t="s">
        <v>1974</v>
      </c>
      <c r="H39" s="59" t="s">
        <v>983</v>
      </c>
      <c r="I39" s="117" t="s">
        <v>1989</v>
      </c>
      <c r="J39" s="118" t="s">
        <v>2038</v>
      </c>
      <c r="K39" s="106"/>
      <c r="L39" s="46"/>
      <c r="M39" s="107"/>
      <c r="N39" s="124"/>
      <c r="O39" s="125"/>
      <c r="P39" s="125"/>
    </row>
    <row r="40" spans="1:16" s="126" customFormat="1" ht="66" outlineLevel="1" x14ac:dyDescent="0.25">
      <c r="A40" s="56">
        <f>MAX($A$1:A39)+1</f>
        <v>28</v>
      </c>
      <c r="B40" s="57" t="s">
        <v>981</v>
      </c>
      <c r="C40" s="53" t="str">
        <f t="shared" si="2"/>
        <v>Diag_0x31_Phy_028</v>
      </c>
      <c r="D40" s="10" t="s">
        <v>1990</v>
      </c>
      <c r="E40" s="58" t="s">
        <v>55</v>
      </c>
      <c r="F40" s="9" t="s">
        <v>21</v>
      </c>
      <c r="G40" s="9" t="s">
        <v>1095</v>
      </c>
      <c r="H40" s="59" t="s">
        <v>1991</v>
      </c>
      <c r="I40" s="117" t="s">
        <v>1992</v>
      </c>
      <c r="J40" s="118" t="s">
        <v>2038</v>
      </c>
      <c r="K40" s="106"/>
      <c r="L40" s="46"/>
      <c r="M40" s="107"/>
      <c r="N40" s="124"/>
      <c r="O40" s="125"/>
      <c r="P40" s="125"/>
    </row>
    <row r="41" spans="1:16" s="126" customFormat="1" ht="66" outlineLevel="1" x14ac:dyDescent="0.25">
      <c r="A41" s="56">
        <f>MAX($A$1:A40)+1</f>
        <v>29</v>
      </c>
      <c r="B41" s="57" t="s">
        <v>1993</v>
      </c>
      <c r="C41" s="53" t="str">
        <f t="shared" si="2"/>
        <v>Diag_0x31_Phy_029</v>
      </c>
      <c r="D41" s="10" t="s">
        <v>1994</v>
      </c>
      <c r="E41" s="58" t="s">
        <v>55</v>
      </c>
      <c r="F41" s="9" t="s">
        <v>21</v>
      </c>
      <c r="G41" s="9" t="s">
        <v>1995</v>
      </c>
      <c r="H41" s="59" t="s">
        <v>1991</v>
      </c>
      <c r="I41" s="117" t="s">
        <v>1996</v>
      </c>
      <c r="J41" s="118" t="s">
        <v>2038</v>
      </c>
      <c r="K41" s="106"/>
      <c r="L41" s="46"/>
      <c r="M41" s="107"/>
      <c r="N41" s="124"/>
      <c r="O41" s="125"/>
      <c r="P41" s="125"/>
    </row>
    <row r="42" spans="1:16" s="126" customFormat="1" ht="66" outlineLevel="1" x14ac:dyDescent="0.25">
      <c r="A42" s="56">
        <f>MAX($A$1:A41)+1</f>
        <v>30</v>
      </c>
      <c r="B42" s="57" t="s">
        <v>1972</v>
      </c>
      <c r="C42" s="53" t="str">
        <f t="shared" si="2"/>
        <v>Diag_0x31_Phy_030</v>
      </c>
      <c r="D42" s="10" t="s">
        <v>1997</v>
      </c>
      <c r="E42" s="58" t="s">
        <v>55</v>
      </c>
      <c r="F42" s="9" t="s">
        <v>21</v>
      </c>
      <c r="G42" s="9" t="s">
        <v>1974</v>
      </c>
      <c r="H42" s="59" t="s">
        <v>1984</v>
      </c>
      <c r="I42" s="117" t="s">
        <v>1998</v>
      </c>
      <c r="J42" s="118" t="s">
        <v>2038</v>
      </c>
      <c r="K42" s="106"/>
      <c r="L42" s="46"/>
      <c r="M42" s="107"/>
      <c r="N42" s="124"/>
      <c r="O42" s="125"/>
      <c r="P42" s="125"/>
    </row>
    <row r="43" spans="1:16" s="126" customFormat="1" ht="66" outlineLevel="1" x14ac:dyDescent="0.25">
      <c r="A43" s="56">
        <f>MAX($A$1:A42)+1</f>
        <v>31</v>
      </c>
      <c r="B43" s="57" t="s">
        <v>1972</v>
      </c>
      <c r="C43" s="53" t="str">
        <f t="shared" si="2"/>
        <v>Diag_0x31_Phy_031</v>
      </c>
      <c r="D43" s="10" t="s">
        <v>1999</v>
      </c>
      <c r="E43" s="58" t="s">
        <v>55</v>
      </c>
      <c r="F43" s="9" t="s">
        <v>21</v>
      </c>
      <c r="G43" s="9" t="s">
        <v>2000</v>
      </c>
      <c r="H43" s="59" t="s">
        <v>1984</v>
      </c>
      <c r="I43" s="117" t="s">
        <v>2001</v>
      </c>
      <c r="J43" s="118" t="s">
        <v>2039</v>
      </c>
      <c r="K43" s="106"/>
      <c r="L43" s="46"/>
      <c r="M43" s="107"/>
      <c r="N43" s="124"/>
      <c r="O43" s="125"/>
      <c r="P43" s="125"/>
    </row>
    <row r="44" spans="1:16" s="126" customFormat="1" ht="66" outlineLevel="1" x14ac:dyDescent="0.25">
      <c r="A44" s="56">
        <f>MAX($A$1:A43)+1</f>
        <v>32</v>
      </c>
      <c r="B44" s="57" t="s">
        <v>1972</v>
      </c>
      <c r="C44" s="53" t="str">
        <f t="shared" si="2"/>
        <v>Diag_0x31_Phy_032</v>
      </c>
      <c r="D44" s="10" t="s">
        <v>2002</v>
      </c>
      <c r="E44" s="58" t="s">
        <v>55</v>
      </c>
      <c r="F44" s="9" t="s">
        <v>21</v>
      </c>
      <c r="G44" s="9" t="s">
        <v>2003</v>
      </c>
      <c r="H44" s="59" t="s">
        <v>1984</v>
      </c>
      <c r="I44" s="117" t="s">
        <v>2004</v>
      </c>
      <c r="J44" s="118" t="s">
        <v>2048</v>
      </c>
      <c r="K44" s="106"/>
      <c r="L44" s="46"/>
      <c r="M44" s="107"/>
      <c r="N44" s="124"/>
      <c r="O44" s="125"/>
      <c r="P44" s="125"/>
    </row>
    <row r="45" spans="1:16" s="126" customFormat="1" ht="79.2" outlineLevel="1" x14ac:dyDescent="0.25">
      <c r="A45" s="56">
        <f>MAX($A$1:A44)+1</f>
        <v>33</v>
      </c>
      <c r="B45" s="57" t="s">
        <v>1993</v>
      </c>
      <c r="C45" s="53" t="str">
        <f t="shared" si="2"/>
        <v>Diag_0x31_Phy_033</v>
      </c>
      <c r="D45" s="10" t="s">
        <v>2005</v>
      </c>
      <c r="E45" s="58" t="s">
        <v>55</v>
      </c>
      <c r="F45" s="9" t="s">
        <v>21</v>
      </c>
      <c r="G45" s="9" t="s">
        <v>2000</v>
      </c>
      <c r="H45" s="59" t="s">
        <v>983</v>
      </c>
      <c r="I45" s="117" t="s">
        <v>2006</v>
      </c>
      <c r="J45" s="118" t="s">
        <v>2049</v>
      </c>
      <c r="K45" s="106"/>
      <c r="L45" s="46"/>
      <c r="M45" s="107"/>
      <c r="N45" s="124"/>
      <c r="O45" s="125"/>
      <c r="P45" s="125"/>
    </row>
    <row r="46" spans="1:16" s="126" customFormat="1" ht="79.2" outlineLevel="1" x14ac:dyDescent="0.25">
      <c r="A46" s="56">
        <f>MAX($A$1:A45)+1</f>
        <v>34</v>
      </c>
      <c r="B46" s="57" t="s">
        <v>1993</v>
      </c>
      <c r="C46" s="53" t="str">
        <f t="shared" ref="C46" si="3" xml:space="preserve"> "Diag_0x31_Phy_" &amp; TEXT(A46, "000")</f>
        <v>Diag_0x31_Phy_034</v>
      </c>
      <c r="D46" s="10" t="s">
        <v>2058</v>
      </c>
      <c r="E46" s="58" t="s">
        <v>55</v>
      </c>
      <c r="F46" s="9" t="s">
        <v>21</v>
      </c>
      <c r="G46" s="9" t="s">
        <v>2000</v>
      </c>
      <c r="H46" s="59" t="s">
        <v>983</v>
      </c>
      <c r="I46" s="57" t="s">
        <v>2054</v>
      </c>
      <c r="J46" s="71" t="s">
        <v>2055</v>
      </c>
      <c r="K46" s="162"/>
      <c r="L46" s="46"/>
      <c r="M46" s="107"/>
      <c r="N46" s="124"/>
      <c r="O46" s="125"/>
      <c r="P46" s="125"/>
    </row>
    <row r="47" spans="1:16" s="126" customFormat="1" ht="79.2" outlineLevel="1" x14ac:dyDescent="0.25">
      <c r="A47" s="56">
        <f>MAX($A$1:A46)+1</f>
        <v>35</v>
      </c>
      <c r="B47" s="57" t="s">
        <v>1993</v>
      </c>
      <c r="C47" s="53" t="str">
        <f t="shared" ref="C47" si="4" xml:space="preserve"> "Diag_0x31_Phy_" &amp; TEXT(A47, "000")</f>
        <v>Diag_0x31_Phy_035</v>
      </c>
      <c r="D47" s="10" t="s">
        <v>2059</v>
      </c>
      <c r="E47" s="58" t="s">
        <v>55</v>
      </c>
      <c r="F47" s="9" t="s">
        <v>21</v>
      </c>
      <c r="G47" s="9" t="s">
        <v>2000</v>
      </c>
      <c r="H47" s="59" t="s">
        <v>983</v>
      </c>
      <c r="I47" s="57" t="s">
        <v>2056</v>
      </c>
      <c r="J47" s="71" t="s">
        <v>2057</v>
      </c>
      <c r="K47" s="162"/>
      <c r="L47" s="46"/>
      <c r="M47" s="107"/>
      <c r="N47" s="124"/>
      <c r="O47" s="125"/>
      <c r="P47" s="125"/>
    </row>
    <row r="48" spans="1:16" s="128" customFormat="1" ht="16.5" customHeight="1" x14ac:dyDescent="0.25">
      <c r="A48" s="146" t="s">
        <v>2028</v>
      </c>
      <c r="B48" s="146"/>
      <c r="C48" s="146"/>
      <c r="D48" s="146"/>
      <c r="E48" s="146"/>
      <c r="F48" s="146"/>
      <c r="G48" s="146"/>
      <c r="H48" s="146"/>
      <c r="I48" s="146"/>
      <c r="J48" s="146"/>
      <c r="K48" s="146"/>
      <c r="L48" s="146"/>
      <c r="M48" s="146"/>
    </row>
    <row r="49" spans="1:16" s="126" customFormat="1" ht="66" outlineLevel="1" x14ac:dyDescent="0.25">
      <c r="A49" s="56">
        <f>MAX($A$1:A48)+1</f>
        <v>36</v>
      </c>
      <c r="B49" s="57" t="s">
        <v>2022</v>
      </c>
      <c r="C49" s="53" t="str">
        <f xml:space="preserve"> "Diag_0x31_Phy_" &amp; TEXT(A49, "000")</f>
        <v>Diag_0x31_Phy_036</v>
      </c>
      <c r="D49" s="53" t="s">
        <v>2029</v>
      </c>
      <c r="E49" s="58" t="s">
        <v>55</v>
      </c>
      <c r="F49" s="9" t="s">
        <v>21</v>
      </c>
      <c r="G49" s="9" t="s">
        <v>2025</v>
      </c>
      <c r="H49" s="59" t="s">
        <v>2026</v>
      </c>
      <c r="I49" s="57" t="s">
        <v>2030</v>
      </c>
      <c r="J49" s="71" t="s">
        <v>2061</v>
      </c>
      <c r="K49" s="104"/>
      <c r="L49" s="46"/>
      <c r="M49" s="160"/>
      <c r="N49" s="124"/>
      <c r="O49" s="125"/>
      <c r="P49" s="125"/>
    </row>
    <row r="50" spans="1:16" s="128" customFormat="1" ht="16.5" customHeight="1" x14ac:dyDescent="0.25">
      <c r="A50" s="146" t="s">
        <v>2031</v>
      </c>
      <c r="B50" s="146"/>
      <c r="C50" s="146"/>
      <c r="D50" s="146"/>
      <c r="E50" s="146"/>
      <c r="F50" s="146"/>
      <c r="G50" s="146"/>
      <c r="H50" s="146"/>
      <c r="I50" s="146"/>
      <c r="J50" s="146"/>
      <c r="K50" s="146"/>
      <c r="L50" s="146"/>
      <c r="M50" s="146"/>
    </row>
    <row r="51" spans="1:16" s="126" customFormat="1" ht="79.2" outlineLevel="1" x14ac:dyDescent="0.25">
      <c r="A51" s="56">
        <f>MAX($A$1:A50)+1</f>
        <v>37</v>
      </c>
      <c r="B51" s="57" t="s">
        <v>2022</v>
      </c>
      <c r="C51" s="53" t="str">
        <f xml:space="preserve"> "Diag_0x31_Phy_" &amp; TEXT(A51, "000")</f>
        <v>Diag_0x31_Phy_037</v>
      </c>
      <c r="D51" s="10" t="s">
        <v>2013</v>
      </c>
      <c r="E51" s="58" t="s">
        <v>55</v>
      </c>
      <c r="F51" s="9" t="s">
        <v>21</v>
      </c>
      <c r="G51" s="9" t="s">
        <v>2016</v>
      </c>
      <c r="H51" s="59" t="s">
        <v>983</v>
      </c>
      <c r="I51" s="57" t="s">
        <v>2032</v>
      </c>
      <c r="J51" s="71" t="s">
        <v>2043</v>
      </c>
      <c r="K51" s="104"/>
      <c r="L51" s="46"/>
      <c r="M51" s="105"/>
      <c r="N51" s="124"/>
      <c r="O51" s="125"/>
      <c r="P51" s="125"/>
    </row>
    <row r="52" spans="1:16" s="126" customFormat="1" ht="66" outlineLevel="1" x14ac:dyDescent="0.25">
      <c r="A52" s="56">
        <f>MAX($A$1:A51)+1</f>
        <v>38</v>
      </c>
      <c r="B52" s="57" t="s">
        <v>2022</v>
      </c>
      <c r="C52" s="53" t="str">
        <f xml:space="preserve"> "Diag_0x31_Phy_" &amp; TEXT(A52, "000")</f>
        <v>Diag_0x31_Phy_038</v>
      </c>
      <c r="D52" s="10" t="s">
        <v>2033</v>
      </c>
      <c r="E52" s="58" t="s">
        <v>55</v>
      </c>
      <c r="F52" s="9" t="s">
        <v>21</v>
      </c>
      <c r="G52" s="9" t="s">
        <v>2016</v>
      </c>
      <c r="H52" s="59" t="s">
        <v>2027</v>
      </c>
      <c r="I52" s="57" t="s">
        <v>2060</v>
      </c>
      <c r="J52" s="71" t="s">
        <v>2044</v>
      </c>
      <c r="K52" s="108"/>
      <c r="L52" s="46"/>
      <c r="M52" s="109"/>
      <c r="N52" s="124"/>
      <c r="O52" s="125"/>
      <c r="P52" s="125"/>
    </row>
    <row r="53" spans="1:16" s="128" customFormat="1" ht="16.5" customHeight="1" x14ac:dyDescent="0.25">
      <c r="A53" s="146" t="s">
        <v>2018</v>
      </c>
      <c r="B53" s="146"/>
      <c r="C53" s="146"/>
      <c r="D53" s="146"/>
      <c r="E53" s="146"/>
      <c r="F53" s="146"/>
      <c r="G53" s="146"/>
      <c r="H53" s="146"/>
      <c r="I53" s="161"/>
      <c r="J53" s="146"/>
      <c r="K53" s="146"/>
      <c r="L53" s="146"/>
      <c r="M53" s="146"/>
    </row>
    <row r="54" spans="1:16" s="128" customFormat="1" ht="16.5" customHeight="1" x14ac:dyDescent="0.25">
      <c r="A54" s="146" t="s">
        <v>88</v>
      </c>
      <c r="B54" s="146"/>
      <c r="C54" s="146"/>
      <c r="D54" s="146"/>
      <c r="E54" s="146"/>
      <c r="F54" s="146"/>
      <c r="G54" s="146"/>
      <c r="H54" s="146"/>
      <c r="I54" s="146"/>
      <c r="J54" s="146"/>
      <c r="K54" s="146"/>
      <c r="L54" s="146"/>
      <c r="M54" s="146"/>
    </row>
    <row r="55" spans="1:16" s="126" customFormat="1" ht="52.8" outlineLevel="1" x14ac:dyDescent="0.25">
      <c r="A55" s="56">
        <f>MAX($A$1:A54)+1</f>
        <v>39</v>
      </c>
      <c r="B55" s="57" t="s">
        <v>2022</v>
      </c>
      <c r="C55" s="53" t="str">
        <f xml:space="preserve"> "Diag_0x31_Fun_" &amp; TEXT(A55, "000")</f>
        <v>Diag_0x31_Fun_039</v>
      </c>
      <c r="D55" s="9" t="s">
        <v>2034</v>
      </c>
      <c r="E55" s="58" t="s">
        <v>55</v>
      </c>
      <c r="F55" s="9" t="s">
        <v>21</v>
      </c>
      <c r="G55" s="9" t="s">
        <v>2025</v>
      </c>
      <c r="H55" s="59" t="s">
        <v>2026</v>
      </c>
      <c r="I55" s="57" t="s">
        <v>2035</v>
      </c>
      <c r="J55" s="71" t="s">
        <v>2045</v>
      </c>
      <c r="K55" s="104"/>
      <c r="L55" s="46"/>
      <c r="M55" s="105"/>
      <c r="N55" s="124"/>
      <c r="O55" s="125"/>
      <c r="P55" s="125"/>
    </row>
  </sheetData>
  <mergeCells count="23">
    <mergeCell ref="A32:M32"/>
    <mergeCell ref="A48:M48"/>
    <mergeCell ref="A50:M50"/>
    <mergeCell ref="A53:M53"/>
    <mergeCell ref="A54:M54"/>
    <mergeCell ref="A19:M19"/>
    <mergeCell ref="A21:M21"/>
    <mergeCell ref="A23:M23"/>
    <mergeCell ref="A28:M28"/>
    <mergeCell ref="A29:M29"/>
    <mergeCell ref="A31:M31"/>
    <mergeCell ref="J2:J3"/>
    <mergeCell ref="K2:K3"/>
    <mergeCell ref="L2:L3"/>
    <mergeCell ref="M2:M3"/>
    <mergeCell ref="A4:P4"/>
    <mergeCell ref="A5:P5"/>
    <mergeCell ref="A2:A3"/>
    <mergeCell ref="B2:B3"/>
    <mergeCell ref="C2:F2"/>
    <mergeCell ref="G2:G3"/>
    <mergeCell ref="H2:H3"/>
    <mergeCell ref="I2:I3"/>
  </mergeCells>
  <phoneticPr fontId="4" type="noConversion"/>
  <conditionalFormatting sqref="L6:L55">
    <cfRule type="cellIs" dxfId="75" priority="2" operator="equal">
      <formula>"Fail"</formula>
    </cfRule>
  </conditionalFormatting>
  <dataValidations count="3">
    <dataValidation type="list" allowBlank="1" showInputMessage="1" showErrorMessage="1" sqref="L24:L27 L30 L20 L22 L6:L18 L51:L52 L55 L49 L33:L47">
      <formula1>"Pass,Fail,Not Apply,Block,Skip"</formula1>
    </dataValidation>
    <dataValidation type="list" allowBlank="1" showInputMessage="1" showErrorMessage="1" sqref="ACQ28:ACQ29 AMM28:AMM29 AWI28:AWI29 BGE28:BGE29 BQA28:BQA29 BZW28:BZW29 CJS28:CJS29 CTO28:CTO29 DDK28:DDK29 DNG28:DNG29 DXC28:DXC29 EGY28:EGY29 EQU28:EQU29 FAQ28:FAQ29 FKM28:FKM29 FUI28:FUI29 GEE28:GEE29 GOA28:GOA29 GXW28:GXW29 HHS28:HHS29 HRO28:HRO29 IBK28:IBK29 ILG28:ILG29 IVC28:IVC29 JEY28:JEY29 JOU28:JOU29 JYQ28:JYQ29 KIM28:KIM29 KSI28:KSI29 LCE28:LCE29 LMA28:LMA29 LVW28:LVW29 MFS28:MFS29 MPO28:MPO29 MZK28:MZK29 NJG28:NJG29 NTC28:NTC29 OCY28:OCY29 OMU28:OMU29 OWQ28:OWQ29 PGM28:PGM29 PQI28:PQI29 QAE28:QAE29 QKA28:QKA29 QTW28:QTW29 RDS28:RDS29 RNO28:RNO29 RXK28:RXK29 SHG28:SHG29 SRC28:SRC29 TAY28:TAY29 TKU28:TKU29 TUQ28:TUQ29 UEM28:UEM29 UOI28:UOI29 UYE28:UYE29 VIA28:VIA29 VRW28:VRW29 WBS28:WBS29 WLO28:WLO29 WVK28:WVK29 IY28:IY29 SU28:SU29 IY21 WVK21 WLO21 WBS21 VRW21 VIA21 UYE21 UOI21 UEM21 TUQ21 TKU21 TAY21 SRC21 SHG21 RXK21 RNO21 RDS21 QTW21 QKA21 QAE21 PQI21 PGM21 OWQ21 OMU21 OCY21 NTC21 NJG21 MZK21 MPO21 MFS21 LVW21 LMA21 LCE21 KSI21 KIM21 JYQ21 JOU21 JEY21 IVC21 ILG21 IBK21 HRO21 HHS21 GXW21 GOA21 GEE21 FUI21 FKM21 FAQ21 EQU21 EGY21 DXC21 DNG21 DDK21 CTO21 CJS21 BZW21 BQA21 BGE21 AWI21 AMM21 ACQ21 SU21 AMM31:AMM32 AWI31:AWI32 BGE31:BGE32 BQA31:BQA32 BZW31:BZW32 CJS31:CJS32 CTO31:CTO32 DDK31:DDK32 DNG31:DNG32 DXC31:DXC32 EGY31:EGY32 EQU31:EQU32 FAQ31:FAQ32 FKM31:FKM32 FUI31:FUI32 GEE31:GEE32 GOA31:GOA32 GXW31:GXW32 HHS31:HHS32 HRO31:HRO32 IBK31:IBK32 ILG31:ILG32 IVC31:IVC32 JEY31:JEY32 JOU31:JOU32 JYQ31:JYQ32 KIM31:KIM32 KSI31:KSI32 LCE31:LCE32 LMA31:LMA32 LVW31:LVW32 MFS31:MFS32 MPO31:MPO32 MZK31:MZK32 NJG31:NJG32 NTC31:NTC32 OCY31:OCY32 OMU31:OMU32 OWQ31:OWQ32 PGM31:PGM32 PQI31:PQI32 QAE31:QAE32 QKA31:QKA32 QTW31:QTW32 RDS31:RDS32 RNO31:RNO32 RXK31:RXK32 SHG31:SHG32 SRC31:SRC32 TAY31:TAY32 TKU31:TKU32 TUQ31:TUQ32 UEM31:UEM32 UOI31:UOI32 UYE31:UYE32 VIA31:VIA32 VRW31:VRW32 WBS31:WBS32 WLO31:WLO32 WVK31:WVK32 IY31:IY32 SU31:SU32 ACQ53:ACQ54 AMM53:AMM54 AWI53:AWI54 BGE53:BGE54 BQA53:BQA54 BZW53:BZW54 CJS53:CJS54 CTO53:CTO54 DDK53:DDK54 DNG53:DNG54 DXC53:DXC54 EGY53:EGY54 EQU53:EQU54 FAQ53:FAQ54 FKM53:FKM54 FUI53:FUI54 GEE53:GEE54 GOA53:GOA54 GXW53:GXW54 HHS53:HHS54 HRO53:HRO54 IBK53:IBK54 ILG53:ILG54 IVC53:IVC54 JEY53:JEY54 JOU53:JOU54 JYQ53:JYQ54 KIM53:KIM54 KSI53:KSI54 LCE53:LCE54 LMA53:LMA54 LVW53:LVW54 MFS53:MFS54 MPO53:MPO54 MZK53:MZK54 NJG53:NJG54 NTC53:NTC54 OCY53:OCY54 OMU53:OMU54 OWQ53:OWQ54 PGM53:PGM54 PQI53:PQI54 QAE53:QAE54 QKA53:QKA54 QTW53:QTW54 RDS53:RDS54 RNO53:RNO54 RXK53:RXK54 SHG53:SHG54 SRC53:SRC54 TAY53:TAY54 TKU53:TKU54 TUQ53:TUQ54 UEM53:UEM54 UOI53:UOI54 UYE53:UYE54 VIA53:VIA54 VRW53:VRW54 WBS53:WBS54 WLO53:WLO54 WVK53:WVK54 IY53:IY54 SU53:SU54 ACQ31:ACQ32 IY48 WVK48 WLO48 WBS48 VRW48 VIA48 UYE48 UOI48 UEM48 TUQ48 TKU48 TAY48 SRC48 SHG48 RXK48 RNO48 RDS48 QTW48 QKA48 QAE48 PQI48 PGM48 OWQ48 OMU48 OCY48 NTC48 NJG48 MZK48 MPO48 MFS48 LVW48 LMA48 LCE48 KSI48 KIM48 JYQ48 JOU48 JEY48 IVC48 ILG48 IBK48 HRO48 HHS48 GXW48 GOA48 GEE48 FUI48 FKM48 FAQ48 EQU48 EGY48 DXC48 DNG48 DDK48 CTO48 CJS48 BZW48 BQA48 BGE48 AWI48 AMM48 ACQ48 SU48">
      <formula1>"高High,中Medium,低Low"</formula1>
    </dataValidation>
    <dataValidation type="list" allowBlank="1" showInputMessage="1" showErrorMessage="1" sqref="E22 E30 E20 E6:E18 E33:E47 E49 E55 E51:E52 E24:E27">
      <formula1>"High,Medium,Low"</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8"/>
  <sheetViews>
    <sheetView workbookViewId="0">
      <selection activeCell="J76" sqref="J76"/>
    </sheetView>
  </sheetViews>
  <sheetFormatPr defaultRowHeight="14.4" x14ac:dyDescent="0.25"/>
  <cols>
    <col min="1" max="1" width="12" customWidth="1"/>
    <col min="2" max="3" width="18" customWidth="1"/>
    <col min="4" max="4" width="17" customWidth="1"/>
    <col min="5" max="5" width="8" customWidth="1"/>
    <col min="6" max="6" width="10" customWidth="1"/>
    <col min="7" max="7" width="16" customWidth="1"/>
    <col min="8" max="8" width="9.44140625" customWidth="1"/>
    <col min="9" max="9" width="63" customWidth="1"/>
    <col min="10" max="10" width="50" customWidth="1"/>
    <col min="11" max="11" width="12"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507</v>
      </c>
      <c r="B4" s="140"/>
      <c r="C4" s="140"/>
      <c r="D4" s="140"/>
      <c r="E4" s="140"/>
      <c r="F4" s="140"/>
      <c r="G4" s="140"/>
      <c r="H4" s="140"/>
      <c r="I4" s="140"/>
      <c r="J4" s="140"/>
      <c r="K4" s="140"/>
      <c r="L4" s="140"/>
      <c r="M4" s="140"/>
      <c r="N4" s="140"/>
      <c r="O4" s="140"/>
      <c r="P4" s="140"/>
    </row>
    <row r="5" spans="1:16" x14ac:dyDescent="0.25">
      <c r="A5" s="139" t="s">
        <v>508</v>
      </c>
      <c r="B5" s="140"/>
      <c r="C5" s="140"/>
      <c r="D5" s="140"/>
      <c r="E5" s="140"/>
      <c r="F5" s="140"/>
      <c r="G5" s="140"/>
      <c r="H5" s="140"/>
      <c r="I5" s="140"/>
      <c r="J5" s="140"/>
      <c r="K5" s="140"/>
      <c r="L5" s="140"/>
      <c r="M5" s="140"/>
      <c r="N5" s="140"/>
      <c r="O5" s="140"/>
      <c r="P5" s="140"/>
    </row>
    <row r="6" spans="1:16" ht="60" x14ac:dyDescent="0.25">
      <c r="A6" s="4">
        <v>1</v>
      </c>
      <c r="B6" s="5" t="s">
        <v>17</v>
      </c>
      <c r="C6" s="5" t="s">
        <v>737</v>
      </c>
      <c r="D6" s="5" t="s">
        <v>509</v>
      </c>
      <c r="E6" s="5" t="s">
        <v>20</v>
      </c>
      <c r="F6" s="5" t="s">
        <v>21</v>
      </c>
      <c r="G6" s="5" t="s">
        <v>22</v>
      </c>
      <c r="H6" s="5" t="s">
        <v>23</v>
      </c>
      <c r="I6" s="5" t="s">
        <v>742</v>
      </c>
      <c r="J6" s="5" t="s">
        <v>1520</v>
      </c>
      <c r="K6" s="5" t="s">
        <v>736</v>
      </c>
      <c r="L6" s="46" t="s">
        <v>672</v>
      </c>
      <c r="M6" s="5"/>
      <c r="N6" s="5"/>
      <c r="O6" s="5"/>
      <c r="P6" s="5"/>
    </row>
    <row r="7" spans="1:16" ht="48" x14ac:dyDescent="0.25">
      <c r="A7" s="4">
        <v>2</v>
      </c>
      <c r="B7" s="5" t="s">
        <v>17</v>
      </c>
      <c r="C7" s="5" t="s">
        <v>510</v>
      </c>
      <c r="D7" s="5" t="s">
        <v>511</v>
      </c>
      <c r="E7" s="5" t="s">
        <v>20</v>
      </c>
      <c r="F7" s="5" t="s">
        <v>21</v>
      </c>
      <c r="G7" s="5" t="s">
        <v>22</v>
      </c>
      <c r="H7" s="5" t="s">
        <v>23</v>
      </c>
      <c r="I7" s="5" t="s">
        <v>743</v>
      </c>
      <c r="J7" s="5" t="s">
        <v>1627</v>
      </c>
      <c r="K7" s="5"/>
      <c r="L7" s="46" t="s">
        <v>671</v>
      </c>
      <c r="M7" s="5"/>
      <c r="N7" s="5"/>
      <c r="O7" s="5"/>
      <c r="P7" s="5"/>
    </row>
    <row r="8" spans="1:16" ht="48" x14ac:dyDescent="0.25">
      <c r="A8" s="4">
        <v>3</v>
      </c>
      <c r="B8" s="5" t="s">
        <v>17</v>
      </c>
      <c r="C8" s="5" t="s">
        <v>512</v>
      </c>
      <c r="D8" s="5" t="s">
        <v>513</v>
      </c>
      <c r="E8" s="5" t="s">
        <v>20</v>
      </c>
      <c r="F8" s="5" t="s">
        <v>21</v>
      </c>
      <c r="G8" s="5" t="s">
        <v>22</v>
      </c>
      <c r="H8" s="5" t="s">
        <v>23</v>
      </c>
      <c r="I8" s="5" t="s">
        <v>752</v>
      </c>
      <c r="J8" s="5" t="s">
        <v>1628</v>
      </c>
      <c r="K8" s="5"/>
      <c r="L8" s="46" t="s">
        <v>671</v>
      </c>
      <c r="M8" s="5"/>
      <c r="N8" s="5"/>
      <c r="O8" s="5"/>
      <c r="P8" s="5"/>
    </row>
    <row r="9" spans="1:16" x14ac:dyDescent="0.25">
      <c r="A9" s="139" t="s">
        <v>514</v>
      </c>
      <c r="B9" s="140"/>
      <c r="C9" s="140"/>
      <c r="D9" s="140"/>
      <c r="E9" s="140"/>
      <c r="F9" s="140"/>
      <c r="G9" s="140"/>
      <c r="H9" s="140"/>
      <c r="I9" s="140"/>
      <c r="J9" s="140"/>
      <c r="K9" s="140"/>
      <c r="L9" s="140"/>
      <c r="M9" s="140"/>
      <c r="N9" s="140"/>
      <c r="O9" s="140"/>
      <c r="P9" s="140"/>
    </row>
    <row r="10" spans="1:16" ht="48" x14ac:dyDescent="0.25">
      <c r="A10" s="4">
        <v>4</v>
      </c>
      <c r="B10" s="5" t="s">
        <v>17</v>
      </c>
      <c r="C10" s="5" t="s">
        <v>894</v>
      </c>
      <c r="D10" s="5" t="s">
        <v>509</v>
      </c>
      <c r="E10" s="5" t="s">
        <v>20</v>
      </c>
      <c r="F10" s="5" t="s">
        <v>21</v>
      </c>
      <c r="G10" s="5" t="s">
        <v>22</v>
      </c>
      <c r="H10" s="5" t="s">
        <v>23</v>
      </c>
      <c r="I10" s="5" t="s">
        <v>744</v>
      </c>
      <c r="J10" s="5" t="s">
        <v>1509</v>
      </c>
      <c r="K10" s="5"/>
      <c r="L10" s="46" t="s">
        <v>671</v>
      </c>
      <c r="M10" s="5"/>
      <c r="N10" s="5"/>
      <c r="O10" s="5"/>
      <c r="P10" s="5"/>
    </row>
    <row r="11" spans="1:16" ht="48" x14ac:dyDescent="0.25">
      <c r="A11" s="4">
        <v>5</v>
      </c>
      <c r="B11" s="5" t="s">
        <v>17</v>
      </c>
      <c r="C11" s="5" t="s">
        <v>517</v>
      </c>
      <c r="D11" s="5" t="s">
        <v>511</v>
      </c>
      <c r="E11" s="5" t="s">
        <v>20</v>
      </c>
      <c r="F11" s="5" t="s">
        <v>21</v>
      </c>
      <c r="G11" s="5" t="s">
        <v>22</v>
      </c>
      <c r="H11" s="5" t="s">
        <v>23</v>
      </c>
      <c r="I11" s="5" t="s">
        <v>745</v>
      </c>
      <c r="J11" s="5" t="s">
        <v>1531</v>
      </c>
      <c r="K11" s="5"/>
      <c r="L11" s="46" t="s">
        <v>671</v>
      </c>
      <c r="M11" s="5"/>
      <c r="N11" s="5"/>
      <c r="O11" s="5"/>
      <c r="P11" s="5"/>
    </row>
    <row r="12" spans="1:16" ht="48" x14ac:dyDescent="0.25">
      <c r="A12" s="4">
        <v>6</v>
      </c>
      <c r="B12" s="5" t="s">
        <v>17</v>
      </c>
      <c r="C12" s="5" t="s">
        <v>519</v>
      </c>
      <c r="D12" s="5" t="s">
        <v>513</v>
      </c>
      <c r="E12" s="5" t="s">
        <v>20</v>
      </c>
      <c r="F12" s="5" t="s">
        <v>21</v>
      </c>
      <c r="G12" s="5" t="s">
        <v>22</v>
      </c>
      <c r="H12" s="5" t="s">
        <v>23</v>
      </c>
      <c r="I12" s="5" t="s">
        <v>753</v>
      </c>
      <c r="J12" s="5" t="s">
        <v>1629</v>
      </c>
      <c r="K12" s="5"/>
      <c r="L12" s="46" t="s">
        <v>671</v>
      </c>
      <c r="M12" s="5"/>
      <c r="N12" s="5"/>
      <c r="O12" s="5"/>
      <c r="P12" s="5"/>
    </row>
    <row r="13" spans="1:16" x14ac:dyDescent="0.25">
      <c r="A13" s="139" t="s">
        <v>515</v>
      </c>
      <c r="B13" s="140"/>
      <c r="C13" s="140"/>
      <c r="D13" s="140"/>
      <c r="E13" s="140"/>
      <c r="F13" s="140"/>
      <c r="G13" s="140"/>
      <c r="H13" s="140"/>
      <c r="I13" s="140"/>
      <c r="J13" s="140"/>
      <c r="K13" s="140"/>
      <c r="L13" s="140"/>
      <c r="M13" s="140"/>
      <c r="N13" s="140"/>
      <c r="O13" s="140"/>
      <c r="P13" s="140"/>
    </row>
    <row r="14" spans="1:16" ht="48" x14ac:dyDescent="0.25">
      <c r="A14" s="4">
        <v>7</v>
      </c>
      <c r="B14" s="5" t="s">
        <v>17</v>
      </c>
      <c r="C14" s="5" t="s">
        <v>895</v>
      </c>
      <c r="D14" s="5" t="s">
        <v>516</v>
      </c>
      <c r="E14" s="5" t="s">
        <v>20</v>
      </c>
      <c r="F14" s="5" t="s">
        <v>21</v>
      </c>
      <c r="G14" s="5" t="s">
        <v>22</v>
      </c>
      <c r="H14" s="5" t="s">
        <v>23</v>
      </c>
      <c r="I14" s="5" t="s">
        <v>746</v>
      </c>
      <c r="J14" s="5" t="s">
        <v>1509</v>
      </c>
      <c r="K14" s="5"/>
      <c r="L14" s="46" t="s">
        <v>671</v>
      </c>
      <c r="M14" s="5"/>
      <c r="N14" s="5"/>
      <c r="O14" s="5"/>
      <c r="P14" s="5"/>
    </row>
    <row r="15" spans="1:16" ht="48" x14ac:dyDescent="0.25">
      <c r="A15" s="4">
        <v>8</v>
      </c>
      <c r="B15" s="5" t="s">
        <v>17</v>
      </c>
      <c r="C15" s="5" t="s">
        <v>524</v>
      </c>
      <c r="D15" s="5" t="s">
        <v>518</v>
      </c>
      <c r="E15" s="5" t="s">
        <v>20</v>
      </c>
      <c r="F15" s="5" t="s">
        <v>21</v>
      </c>
      <c r="G15" s="5" t="s">
        <v>22</v>
      </c>
      <c r="H15" s="5" t="s">
        <v>23</v>
      </c>
      <c r="I15" s="5" t="s">
        <v>747</v>
      </c>
      <c r="J15" s="5" t="s">
        <v>1531</v>
      </c>
      <c r="K15" s="5"/>
      <c r="L15" s="46" t="s">
        <v>671</v>
      </c>
      <c r="M15" s="5"/>
      <c r="N15" s="5"/>
      <c r="O15" s="5"/>
      <c r="P15" s="5"/>
    </row>
    <row r="16" spans="1:16" ht="50.4" customHeight="1" x14ac:dyDescent="0.25">
      <c r="A16" s="4">
        <v>9</v>
      </c>
      <c r="B16" s="5" t="s">
        <v>17</v>
      </c>
      <c r="C16" s="5" t="s">
        <v>527</v>
      </c>
      <c r="D16" s="5" t="s">
        <v>520</v>
      </c>
      <c r="E16" s="5" t="s">
        <v>20</v>
      </c>
      <c r="F16" s="5" t="s">
        <v>21</v>
      </c>
      <c r="G16" s="5" t="s">
        <v>22</v>
      </c>
      <c r="H16" s="5" t="s">
        <v>23</v>
      </c>
      <c r="I16" s="5" t="s">
        <v>754</v>
      </c>
      <c r="J16" s="5" t="s">
        <v>1629</v>
      </c>
      <c r="K16" s="5"/>
      <c r="L16" s="46" t="s">
        <v>671</v>
      </c>
      <c r="M16" s="5"/>
      <c r="N16" s="5"/>
      <c r="O16" s="5"/>
      <c r="P16" s="5"/>
    </row>
    <row r="17" spans="1:16" x14ac:dyDescent="0.25">
      <c r="A17" s="139" t="s">
        <v>521</v>
      </c>
      <c r="B17" s="140"/>
      <c r="C17" s="140"/>
      <c r="D17" s="140"/>
      <c r="E17" s="140"/>
      <c r="F17" s="140"/>
      <c r="G17" s="140"/>
      <c r="H17" s="140"/>
      <c r="I17" s="140"/>
      <c r="J17" s="140"/>
      <c r="K17" s="140"/>
      <c r="L17" s="140"/>
      <c r="M17" s="140"/>
      <c r="N17" s="140"/>
      <c r="O17" s="140"/>
      <c r="P17" s="140"/>
    </row>
    <row r="18" spans="1:16" ht="48" x14ac:dyDescent="0.25">
      <c r="A18" s="4">
        <v>10</v>
      </c>
      <c r="B18" s="5" t="s">
        <v>17</v>
      </c>
      <c r="C18" s="5" t="s">
        <v>896</v>
      </c>
      <c r="D18" s="5" t="s">
        <v>516</v>
      </c>
      <c r="E18" s="5" t="s">
        <v>20</v>
      </c>
      <c r="F18" s="5" t="s">
        <v>21</v>
      </c>
      <c r="G18" s="5" t="s">
        <v>22</v>
      </c>
      <c r="H18" s="5" t="s">
        <v>23</v>
      </c>
      <c r="I18" s="5" t="s">
        <v>748</v>
      </c>
      <c r="J18" s="5" t="s">
        <v>1509</v>
      </c>
      <c r="K18" s="5"/>
      <c r="L18" s="46" t="s">
        <v>671</v>
      </c>
      <c r="M18" s="5"/>
      <c r="N18" s="5"/>
      <c r="O18" s="5"/>
      <c r="P18" s="5"/>
    </row>
    <row r="19" spans="1:16" ht="48" x14ac:dyDescent="0.25">
      <c r="A19" s="4">
        <v>11</v>
      </c>
      <c r="B19" s="5" t="s">
        <v>17</v>
      </c>
      <c r="C19" s="5" t="s">
        <v>530</v>
      </c>
      <c r="D19" s="5" t="s">
        <v>518</v>
      </c>
      <c r="E19" s="5" t="s">
        <v>20</v>
      </c>
      <c r="F19" s="5" t="s">
        <v>21</v>
      </c>
      <c r="G19" s="5" t="s">
        <v>22</v>
      </c>
      <c r="H19" s="5" t="s">
        <v>23</v>
      </c>
      <c r="I19" s="5" t="s">
        <v>749</v>
      </c>
      <c r="J19" s="5" t="s">
        <v>1531</v>
      </c>
      <c r="K19" s="5"/>
      <c r="L19" s="46" t="s">
        <v>671</v>
      </c>
      <c r="M19" s="5"/>
      <c r="N19" s="5"/>
      <c r="O19" s="5"/>
      <c r="P19" s="5"/>
    </row>
    <row r="20" spans="1:16" ht="60" x14ac:dyDescent="0.25">
      <c r="A20" s="4">
        <v>12</v>
      </c>
      <c r="B20" s="5" t="s">
        <v>17</v>
      </c>
      <c r="C20" s="5" t="s">
        <v>532</v>
      </c>
      <c r="D20" s="5" t="s">
        <v>520</v>
      </c>
      <c r="E20" s="5" t="s">
        <v>20</v>
      </c>
      <c r="F20" s="5" t="s">
        <v>21</v>
      </c>
      <c r="G20" s="5" t="s">
        <v>22</v>
      </c>
      <c r="H20" s="5" t="s">
        <v>23</v>
      </c>
      <c r="I20" s="5" t="s">
        <v>755</v>
      </c>
      <c r="J20" s="5" t="s">
        <v>1629</v>
      </c>
      <c r="K20" s="5"/>
      <c r="L20" s="46" t="s">
        <v>671</v>
      </c>
      <c r="M20" s="5"/>
      <c r="N20" s="5"/>
      <c r="O20" s="5"/>
      <c r="P20" s="5"/>
    </row>
    <row r="21" spans="1:16" x14ac:dyDescent="0.25">
      <c r="A21" s="139" t="s">
        <v>522</v>
      </c>
      <c r="B21" s="140"/>
      <c r="C21" s="140"/>
      <c r="D21" s="140"/>
      <c r="E21" s="140"/>
      <c r="F21" s="140"/>
      <c r="G21" s="140"/>
      <c r="H21" s="140"/>
      <c r="I21" s="140"/>
      <c r="J21" s="140"/>
      <c r="K21" s="140"/>
      <c r="L21" s="140"/>
      <c r="M21" s="140"/>
      <c r="N21" s="140"/>
      <c r="O21" s="140"/>
      <c r="P21" s="140"/>
    </row>
    <row r="22" spans="1:16" ht="100.2" customHeight="1" x14ac:dyDescent="0.25">
      <c r="A22" s="4">
        <v>13</v>
      </c>
      <c r="B22" s="5" t="s">
        <v>17</v>
      </c>
      <c r="C22" s="5" t="s">
        <v>897</v>
      </c>
      <c r="D22" s="5" t="s">
        <v>523</v>
      </c>
      <c r="E22" s="5" t="s">
        <v>20</v>
      </c>
      <c r="F22" s="5" t="s">
        <v>21</v>
      </c>
      <c r="G22" s="5" t="s">
        <v>22</v>
      </c>
      <c r="H22" s="5" t="s">
        <v>23</v>
      </c>
      <c r="I22" s="5" t="s">
        <v>756</v>
      </c>
      <c r="J22" s="5" t="s">
        <v>1630</v>
      </c>
      <c r="K22" s="5"/>
      <c r="L22" s="46" t="s">
        <v>672</v>
      </c>
      <c r="M22" s="5"/>
      <c r="N22" s="5"/>
      <c r="O22" s="5"/>
      <c r="P22" s="5"/>
    </row>
    <row r="23" spans="1:16" ht="72" x14ac:dyDescent="0.25">
      <c r="A23" s="4">
        <v>14</v>
      </c>
      <c r="B23" s="5" t="s">
        <v>17</v>
      </c>
      <c r="C23" s="5" t="s">
        <v>537</v>
      </c>
      <c r="D23" s="5" t="s">
        <v>525</v>
      </c>
      <c r="E23" s="5" t="s">
        <v>20</v>
      </c>
      <c r="F23" s="5" t="s">
        <v>21</v>
      </c>
      <c r="G23" s="5" t="s">
        <v>22</v>
      </c>
      <c r="H23" s="5" t="s">
        <v>23</v>
      </c>
      <c r="I23" s="5" t="s">
        <v>757</v>
      </c>
      <c r="J23" s="5" t="s">
        <v>1631</v>
      </c>
      <c r="K23" s="5"/>
      <c r="L23" s="46" t="s">
        <v>671</v>
      </c>
      <c r="M23" s="5"/>
      <c r="N23" s="5"/>
      <c r="O23" s="5"/>
      <c r="P23" s="5"/>
    </row>
    <row r="24" spans="1:16" x14ac:dyDescent="0.25">
      <c r="A24" s="139" t="s">
        <v>526</v>
      </c>
      <c r="B24" s="140"/>
      <c r="C24" s="140"/>
      <c r="D24" s="140"/>
      <c r="E24" s="140"/>
      <c r="F24" s="140"/>
      <c r="G24" s="140"/>
      <c r="H24" s="140"/>
      <c r="I24" s="140"/>
      <c r="J24" s="140"/>
      <c r="K24" s="140"/>
      <c r="L24" s="140"/>
      <c r="M24" s="140"/>
      <c r="N24" s="140"/>
      <c r="O24" s="140"/>
      <c r="P24" s="140"/>
    </row>
    <row r="25" spans="1:16" ht="72" x14ac:dyDescent="0.25">
      <c r="A25" s="4">
        <v>15</v>
      </c>
      <c r="B25" s="5" t="s">
        <v>17</v>
      </c>
      <c r="C25" s="5" t="s">
        <v>898</v>
      </c>
      <c r="D25" s="5" t="s">
        <v>523</v>
      </c>
      <c r="E25" s="5" t="s">
        <v>20</v>
      </c>
      <c r="F25" s="5" t="s">
        <v>21</v>
      </c>
      <c r="G25" s="5" t="s">
        <v>22</v>
      </c>
      <c r="H25" s="5" t="s">
        <v>23</v>
      </c>
      <c r="I25" s="5" t="s">
        <v>758</v>
      </c>
      <c r="J25" s="5" t="s">
        <v>1632</v>
      </c>
      <c r="K25" s="5"/>
      <c r="L25" s="46" t="s">
        <v>671</v>
      </c>
      <c r="M25" s="5"/>
      <c r="N25" s="5"/>
      <c r="O25" s="5"/>
      <c r="P25" s="5"/>
    </row>
    <row r="26" spans="1:16" ht="72" x14ac:dyDescent="0.25">
      <c r="A26" s="4">
        <v>16</v>
      </c>
      <c r="B26" s="5" t="s">
        <v>17</v>
      </c>
      <c r="C26" s="5" t="s">
        <v>544</v>
      </c>
      <c r="D26" s="5" t="s">
        <v>525</v>
      </c>
      <c r="E26" s="5" t="s">
        <v>20</v>
      </c>
      <c r="F26" s="5" t="s">
        <v>21</v>
      </c>
      <c r="G26" s="5" t="s">
        <v>22</v>
      </c>
      <c r="H26" s="5" t="s">
        <v>23</v>
      </c>
      <c r="I26" s="5" t="s">
        <v>759</v>
      </c>
      <c r="J26" s="5" t="s">
        <v>1631</v>
      </c>
      <c r="K26" s="5"/>
      <c r="L26" s="46" t="s">
        <v>671</v>
      </c>
      <c r="M26" s="5"/>
      <c r="N26" s="5"/>
      <c r="O26" s="5"/>
      <c r="P26" s="5"/>
    </row>
    <row r="27" spans="1:16" x14ac:dyDescent="0.25">
      <c r="A27" s="139" t="s">
        <v>899</v>
      </c>
      <c r="B27" s="140"/>
      <c r="C27" s="140"/>
      <c r="D27" s="140"/>
      <c r="E27" s="140"/>
      <c r="F27" s="140"/>
      <c r="G27" s="140"/>
      <c r="H27" s="140"/>
      <c r="I27" s="140"/>
      <c r="J27" s="140"/>
      <c r="K27" s="140"/>
      <c r="L27" s="140"/>
      <c r="M27" s="140"/>
      <c r="N27" s="140"/>
      <c r="O27" s="140"/>
      <c r="P27" s="140"/>
    </row>
    <row r="28" spans="1:16" ht="96" x14ac:dyDescent="0.25">
      <c r="A28" s="4">
        <v>17</v>
      </c>
      <c r="B28" s="5" t="s">
        <v>17</v>
      </c>
      <c r="C28" s="5" t="s">
        <v>900</v>
      </c>
      <c r="D28" s="5" t="s">
        <v>528</v>
      </c>
      <c r="E28" s="5" t="s">
        <v>20</v>
      </c>
      <c r="F28" s="5" t="s">
        <v>21</v>
      </c>
      <c r="G28" s="5" t="s">
        <v>22</v>
      </c>
      <c r="H28" s="5" t="s">
        <v>23</v>
      </c>
      <c r="I28" s="5" t="s">
        <v>760</v>
      </c>
      <c r="J28" s="5" t="s">
        <v>1633</v>
      </c>
      <c r="K28" s="5"/>
      <c r="L28" s="46" t="s">
        <v>671</v>
      </c>
      <c r="M28" s="5"/>
      <c r="N28" s="5"/>
      <c r="O28" s="5"/>
      <c r="P28" s="5"/>
    </row>
    <row r="29" spans="1:16" ht="96" x14ac:dyDescent="0.25">
      <c r="A29" s="4">
        <v>18</v>
      </c>
      <c r="B29" s="5" t="s">
        <v>17</v>
      </c>
      <c r="C29" s="5" t="s">
        <v>547</v>
      </c>
      <c r="D29" s="5" t="s">
        <v>529</v>
      </c>
      <c r="E29" s="5" t="s">
        <v>20</v>
      </c>
      <c r="F29" s="5" t="s">
        <v>21</v>
      </c>
      <c r="G29" s="5" t="s">
        <v>22</v>
      </c>
      <c r="H29" s="5" t="s">
        <v>23</v>
      </c>
      <c r="I29" s="5" t="s">
        <v>762</v>
      </c>
      <c r="J29" s="5" t="s">
        <v>1633</v>
      </c>
      <c r="K29" s="5"/>
      <c r="L29" s="46" t="s">
        <v>671</v>
      </c>
      <c r="M29" s="5"/>
      <c r="N29" s="5"/>
      <c r="O29" s="5"/>
      <c r="P29" s="5"/>
    </row>
    <row r="30" spans="1:16" ht="108" x14ac:dyDescent="0.25">
      <c r="A30" s="4">
        <v>19</v>
      </c>
      <c r="B30" s="5" t="s">
        <v>17</v>
      </c>
      <c r="C30" s="5" t="s">
        <v>550</v>
      </c>
      <c r="D30" s="5" t="s">
        <v>531</v>
      </c>
      <c r="E30" s="5" t="s">
        <v>20</v>
      </c>
      <c r="F30" s="5" t="s">
        <v>21</v>
      </c>
      <c r="G30" s="5" t="s">
        <v>22</v>
      </c>
      <c r="H30" s="5" t="s">
        <v>23</v>
      </c>
      <c r="I30" s="5" t="s">
        <v>761</v>
      </c>
      <c r="J30" s="5" t="s">
        <v>1634</v>
      </c>
      <c r="K30" s="5"/>
      <c r="L30" s="46" t="s">
        <v>671</v>
      </c>
      <c r="M30" s="5"/>
      <c r="N30" s="5"/>
      <c r="O30" s="5"/>
      <c r="P30" s="5"/>
    </row>
    <row r="31" spans="1:16" ht="108" x14ac:dyDescent="0.25">
      <c r="A31" s="4">
        <v>20</v>
      </c>
      <c r="B31" s="5" t="s">
        <v>17</v>
      </c>
      <c r="C31" s="5" t="s">
        <v>551</v>
      </c>
      <c r="D31" s="5" t="s">
        <v>533</v>
      </c>
      <c r="E31" s="5" t="s">
        <v>20</v>
      </c>
      <c r="F31" s="5" t="s">
        <v>21</v>
      </c>
      <c r="G31" s="5" t="s">
        <v>22</v>
      </c>
      <c r="H31" s="5" t="s">
        <v>23</v>
      </c>
      <c r="I31" s="5" t="s">
        <v>763</v>
      </c>
      <c r="J31" s="5" t="s">
        <v>1634</v>
      </c>
      <c r="K31" s="5"/>
      <c r="L31" s="46" t="s">
        <v>671</v>
      </c>
      <c r="M31" s="5"/>
      <c r="N31" s="5"/>
      <c r="O31" s="5"/>
      <c r="P31" s="5"/>
    </row>
    <row r="32" spans="1:16" x14ac:dyDescent="0.25">
      <c r="A32" s="139" t="s">
        <v>534</v>
      </c>
      <c r="B32" s="140"/>
      <c r="C32" s="140"/>
      <c r="D32" s="140"/>
      <c r="E32" s="140"/>
      <c r="F32" s="140"/>
      <c r="G32" s="140"/>
      <c r="H32" s="140"/>
      <c r="I32" s="140"/>
      <c r="J32" s="140"/>
      <c r="K32" s="140"/>
      <c r="L32" s="140"/>
      <c r="M32" s="140"/>
      <c r="N32" s="140"/>
      <c r="O32" s="140"/>
      <c r="P32" s="140"/>
    </row>
    <row r="33" spans="1:16" ht="69" customHeight="1" x14ac:dyDescent="0.25">
      <c r="A33" s="4">
        <v>21</v>
      </c>
      <c r="B33" s="5" t="s">
        <v>17</v>
      </c>
      <c r="C33" s="5" t="s">
        <v>901</v>
      </c>
      <c r="D33" s="5" t="s">
        <v>528</v>
      </c>
      <c r="E33" s="5" t="s">
        <v>20</v>
      </c>
      <c r="F33" s="5" t="s">
        <v>21</v>
      </c>
      <c r="G33" s="5" t="s">
        <v>22</v>
      </c>
      <c r="H33" s="5" t="s">
        <v>23</v>
      </c>
      <c r="I33" s="5" t="s">
        <v>764</v>
      </c>
      <c r="J33" s="5" t="s">
        <v>1635</v>
      </c>
      <c r="K33" s="5"/>
      <c r="L33" s="46" t="s">
        <v>671</v>
      </c>
      <c r="M33" s="5"/>
      <c r="N33" s="5"/>
      <c r="O33" s="5"/>
      <c r="P33" s="5"/>
    </row>
    <row r="34" spans="1:16" ht="69" customHeight="1" x14ac:dyDescent="0.25">
      <c r="A34" s="4">
        <v>22</v>
      </c>
      <c r="B34" s="5" t="s">
        <v>17</v>
      </c>
      <c r="C34" s="5" t="s">
        <v>558</v>
      </c>
      <c r="D34" s="5" t="s">
        <v>529</v>
      </c>
      <c r="E34" s="5" t="s">
        <v>20</v>
      </c>
      <c r="F34" s="5" t="s">
        <v>21</v>
      </c>
      <c r="G34" s="5" t="s">
        <v>22</v>
      </c>
      <c r="H34" s="5" t="s">
        <v>23</v>
      </c>
      <c r="I34" s="5" t="s">
        <v>765</v>
      </c>
      <c r="J34" s="5" t="s">
        <v>1635</v>
      </c>
      <c r="K34" s="5"/>
      <c r="L34" s="46" t="s">
        <v>671</v>
      </c>
      <c r="M34" s="5"/>
      <c r="N34" s="5"/>
      <c r="O34" s="5"/>
      <c r="P34" s="5"/>
    </row>
    <row r="35" spans="1:16" ht="69" customHeight="1" x14ac:dyDescent="0.25">
      <c r="A35" s="4">
        <v>23</v>
      </c>
      <c r="B35" s="5" t="s">
        <v>17</v>
      </c>
      <c r="C35" s="5" t="s">
        <v>559</v>
      </c>
      <c r="D35" s="5" t="s">
        <v>531</v>
      </c>
      <c r="E35" s="5" t="s">
        <v>20</v>
      </c>
      <c r="F35" s="5" t="s">
        <v>21</v>
      </c>
      <c r="G35" s="5" t="s">
        <v>22</v>
      </c>
      <c r="H35" s="5" t="s">
        <v>23</v>
      </c>
      <c r="I35" s="5" t="s">
        <v>766</v>
      </c>
      <c r="J35" s="5" t="s">
        <v>1634</v>
      </c>
      <c r="K35" s="5"/>
      <c r="L35" s="46" t="s">
        <v>671</v>
      </c>
      <c r="M35" s="5"/>
      <c r="N35" s="5"/>
      <c r="O35" s="5"/>
      <c r="P35" s="5"/>
    </row>
    <row r="36" spans="1:16" ht="69" customHeight="1" x14ac:dyDescent="0.25">
      <c r="A36" s="4">
        <v>24</v>
      </c>
      <c r="B36" s="5" t="s">
        <v>17</v>
      </c>
      <c r="C36" s="5" t="s">
        <v>560</v>
      </c>
      <c r="D36" s="5" t="s">
        <v>533</v>
      </c>
      <c r="E36" s="5" t="s">
        <v>20</v>
      </c>
      <c r="F36" s="5" t="s">
        <v>21</v>
      </c>
      <c r="G36" s="5" t="s">
        <v>22</v>
      </c>
      <c r="H36" s="5" t="s">
        <v>23</v>
      </c>
      <c r="I36" s="5" t="s">
        <v>767</v>
      </c>
      <c r="J36" s="5" t="s">
        <v>1634</v>
      </c>
      <c r="K36" s="5"/>
      <c r="L36" s="46" t="s">
        <v>671</v>
      </c>
      <c r="M36" s="5"/>
      <c r="N36" s="5"/>
      <c r="O36" s="5"/>
      <c r="P36" s="5"/>
    </row>
    <row r="37" spans="1:16" x14ac:dyDescent="0.25">
      <c r="A37" s="139" t="s">
        <v>535</v>
      </c>
      <c r="B37" s="140"/>
      <c r="C37" s="140"/>
      <c r="D37" s="140"/>
      <c r="E37" s="140"/>
      <c r="F37" s="140"/>
      <c r="G37" s="140"/>
      <c r="H37" s="140"/>
      <c r="I37" s="140"/>
      <c r="J37" s="140"/>
      <c r="K37" s="140"/>
      <c r="L37" s="140"/>
      <c r="M37" s="140"/>
      <c r="N37" s="140"/>
      <c r="O37" s="140"/>
      <c r="P37" s="140"/>
    </row>
    <row r="38" spans="1:16" ht="108" x14ac:dyDescent="0.25">
      <c r="A38" s="4">
        <v>25</v>
      </c>
      <c r="B38" s="5" t="s">
        <v>17</v>
      </c>
      <c r="C38" s="5" t="s">
        <v>902</v>
      </c>
      <c r="D38" s="5" t="s">
        <v>536</v>
      </c>
      <c r="E38" s="5" t="s">
        <v>55</v>
      </c>
      <c r="F38" s="5" t="s">
        <v>21</v>
      </c>
      <c r="G38" s="5" t="s">
        <v>22</v>
      </c>
      <c r="H38" s="5" t="s">
        <v>23</v>
      </c>
      <c r="I38" s="5" t="s">
        <v>768</v>
      </c>
      <c r="J38" s="5" t="s">
        <v>1633</v>
      </c>
      <c r="K38" s="5"/>
      <c r="L38" s="46" t="s">
        <v>671</v>
      </c>
      <c r="M38" s="5"/>
      <c r="N38" s="5"/>
      <c r="O38" s="5"/>
      <c r="P38" s="5"/>
    </row>
    <row r="39" spans="1:16" ht="108" x14ac:dyDescent="0.25">
      <c r="A39" s="4">
        <v>26</v>
      </c>
      <c r="B39" s="5" t="s">
        <v>17</v>
      </c>
      <c r="C39" s="5" t="s">
        <v>553</v>
      </c>
      <c r="D39" s="5" t="s">
        <v>538</v>
      </c>
      <c r="E39" s="5" t="s">
        <v>55</v>
      </c>
      <c r="F39" s="5" t="s">
        <v>21</v>
      </c>
      <c r="G39" s="5" t="s">
        <v>22</v>
      </c>
      <c r="H39" s="5" t="s">
        <v>23</v>
      </c>
      <c r="I39" s="5" t="s">
        <v>769</v>
      </c>
      <c r="J39" s="5" t="s">
        <v>1636</v>
      </c>
      <c r="K39" s="5"/>
      <c r="L39" s="46" t="s">
        <v>671</v>
      </c>
      <c r="M39" s="5"/>
      <c r="N39" s="5"/>
      <c r="O39" s="5"/>
      <c r="P39" s="5"/>
    </row>
    <row r="40" spans="1:16" ht="120" x14ac:dyDescent="0.25">
      <c r="A40" s="4">
        <v>27</v>
      </c>
      <c r="B40" s="5" t="s">
        <v>17</v>
      </c>
      <c r="C40" s="5" t="s">
        <v>554</v>
      </c>
      <c r="D40" s="5" t="s">
        <v>539</v>
      </c>
      <c r="E40" s="5" t="s">
        <v>20</v>
      </c>
      <c r="F40" s="5" t="s">
        <v>21</v>
      </c>
      <c r="G40" s="5" t="s">
        <v>22</v>
      </c>
      <c r="H40" s="5" t="s">
        <v>23</v>
      </c>
      <c r="I40" s="5" t="s">
        <v>770</v>
      </c>
      <c r="J40" s="5" t="s">
        <v>1637</v>
      </c>
      <c r="K40" s="5"/>
      <c r="L40" s="46" t="s">
        <v>671</v>
      </c>
      <c r="M40" s="5"/>
      <c r="N40" s="5"/>
      <c r="O40" s="5"/>
      <c r="P40" s="5"/>
    </row>
    <row r="41" spans="1:16" x14ac:dyDescent="0.25">
      <c r="A41" s="139" t="s">
        <v>540</v>
      </c>
      <c r="B41" s="140"/>
      <c r="C41" s="140"/>
      <c r="D41" s="140"/>
      <c r="E41" s="140"/>
      <c r="F41" s="140"/>
      <c r="G41" s="140"/>
      <c r="H41" s="140"/>
      <c r="I41" s="140"/>
      <c r="J41" s="140"/>
      <c r="K41" s="140"/>
      <c r="L41" s="140"/>
      <c r="M41" s="140"/>
      <c r="N41" s="140"/>
      <c r="O41" s="140"/>
      <c r="P41" s="140"/>
    </row>
    <row r="42" spans="1:16" ht="108" x14ac:dyDescent="0.25">
      <c r="A42" s="4">
        <v>28</v>
      </c>
      <c r="B42" s="5" t="s">
        <v>17</v>
      </c>
      <c r="C42" s="5" t="s">
        <v>904</v>
      </c>
      <c r="D42" s="5" t="s">
        <v>536</v>
      </c>
      <c r="E42" s="5" t="s">
        <v>55</v>
      </c>
      <c r="F42" s="5" t="s">
        <v>21</v>
      </c>
      <c r="G42" s="5" t="s">
        <v>22</v>
      </c>
      <c r="H42" s="5" t="s">
        <v>23</v>
      </c>
      <c r="I42" s="5" t="s">
        <v>771</v>
      </c>
      <c r="J42" s="5" t="s">
        <v>1635</v>
      </c>
      <c r="K42" s="5"/>
      <c r="L42" s="46" t="s">
        <v>671</v>
      </c>
      <c r="M42" s="5"/>
      <c r="N42" s="5"/>
      <c r="O42" s="5"/>
      <c r="P42" s="5"/>
    </row>
    <row r="43" spans="1:16" ht="108" x14ac:dyDescent="0.25">
      <c r="A43" s="4">
        <v>29</v>
      </c>
      <c r="B43" s="5" t="s">
        <v>17</v>
      </c>
      <c r="C43" s="5" t="s">
        <v>561</v>
      </c>
      <c r="D43" s="5" t="s">
        <v>538</v>
      </c>
      <c r="E43" s="5" t="s">
        <v>55</v>
      </c>
      <c r="F43" s="5" t="s">
        <v>21</v>
      </c>
      <c r="G43" s="5" t="s">
        <v>22</v>
      </c>
      <c r="H43" s="5" t="s">
        <v>23</v>
      </c>
      <c r="I43" s="5" t="s">
        <v>772</v>
      </c>
      <c r="J43" s="5" t="s">
        <v>1638</v>
      </c>
      <c r="K43" s="5"/>
      <c r="L43" s="46" t="s">
        <v>671</v>
      </c>
      <c r="M43" s="5"/>
      <c r="N43" s="5"/>
      <c r="O43" s="5"/>
      <c r="P43" s="5"/>
    </row>
    <row r="44" spans="1:16" ht="120" x14ac:dyDescent="0.25">
      <c r="A44" s="4">
        <v>30</v>
      </c>
      <c r="B44" s="5" t="s">
        <v>17</v>
      </c>
      <c r="C44" s="5" t="s">
        <v>562</v>
      </c>
      <c r="D44" s="5" t="s">
        <v>539</v>
      </c>
      <c r="E44" s="5" t="s">
        <v>20</v>
      </c>
      <c r="F44" s="5" t="s">
        <v>21</v>
      </c>
      <c r="G44" s="5" t="s">
        <v>22</v>
      </c>
      <c r="H44" s="5" t="s">
        <v>23</v>
      </c>
      <c r="I44" s="5" t="s">
        <v>773</v>
      </c>
      <c r="J44" s="5" t="s">
        <v>1639</v>
      </c>
      <c r="K44" s="5"/>
      <c r="L44" s="46" t="s">
        <v>671</v>
      </c>
      <c r="M44" s="5"/>
      <c r="N44" s="5"/>
      <c r="O44" s="5"/>
      <c r="P44" s="5"/>
    </row>
    <row r="45" spans="1:16" x14ac:dyDescent="0.25">
      <c r="A45" s="139" t="s">
        <v>541</v>
      </c>
      <c r="B45" s="140"/>
      <c r="C45" s="140"/>
      <c r="D45" s="140"/>
      <c r="E45" s="140"/>
      <c r="F45" s="140"/>
      <c r="G45" s="140"/>
      <c r="H45" s="140"/>
      <c r="I45" s="140"/>
      <c r="J45" s="140"/>
      <c r="K45" s="140"/>
      <c r="L45" s="140"/>
      <c r="M45" s="140"/>
      <c r="N45" s="140"/>
      <c r="O45" s="140"/>
      <c r="P45" s="140"/>
    </row>
    <row r="46" spans="1:16" ht="48" x14ac:dyDescent="0.25">
      <c r="A46" s="4">
        <v>31</v>
      </c>
      <c r="B46" s="5" t="s">
        <v>17</v>
      </c>
      <c r="C46" s="5" t="s">
        <v>903</v>
      </c>
      <c r="D46" s="5" t="s">
        <v>542</v>
      </c>
      <c r="E46" s="5" t="s">
        <v>61</v>
      </c>
      <c r="F46" s="5" t="s">
        <v>21</v>
      </c>
      <c r="G46" s="5" t="s">
        <v>22</v>
      </c>
      <c r="H46" s="5" t="s">
        <v>23</v>
      </c>
      <c r="I46" s="5" t="s">
        <v>750</v>
      </c>
      <c r="J46" s="5" t="s">
        <v>1508</v>
      </c>
      <c r="K46" s="5"/>
      <c r="L46" s="46" t="s">
        <v>672</v>
      </c>
      <c r="M46" s="5" t="s">
        <v>774</v>
      </c>
      <c r="N46" s="5"/>
      <c r="O46" s="5"/>
      <c r="P46" s="5"/>
    </row>
    <row r="47" spans="1:16" x14ac:dyDescent="0.25">
      <c r="A47" s="139" t="s">
        <v>543</v>
      </c>
      <c r="B47" s="140"/>
      <c r="C47" s="140"/>
      <c r="D47" s="140"/>
      <c r="E47" s="140"/>
      <c r="F47" s="140"/>
      <c r="G47" s="140"/>
      <c r="H47" s="140"/>
      <c r="I47" s="140"/>
      <c r="J47" s="140"/>
      <c r="K47" s="140"/>
      <c r="L47" s="140"/>
      <c r="M47" s="140"/>
      <c r="N47" s="140"/>
      <c r="O47" s="140"/>
      <c r="P47" s="140"/>
    </row>
    <row r="48" spans="1:16" ht="48" x14ac:dyDescent="0.25">
      <c r="A48" s="4">
        <v>32</v>
      </c>
      <c r="B48" s="5" t="s">
        <v>17</v>
      </c>
      <c r="C48" s="5" t="s">
        <v>905</v>
      </c>
      <c r="D48" s="5" t="s">
        <v>542</v>
      </c>
      <c r="E48" s="5" t="s">
        <v>61</v>
      </c>
      <c r="F48" s="5" t="s">
        <v>21</v>
      </c>
      <c r="G48" s="5" t="s">
        <v>22</v>
      </c>
      <c r="H48" s="5" t="s">
        <v>23</v>
      </c>
      <c r="I48" s="5" t="s">
        <v>751</v>
      </c>
      <c r="J48" s="5" t="s">
        <v>1508</v>
      </c>
      <c r="K48" s="5"/>
      <c r="L48" s="46" t="s">
        <v>671</v>
      </c>
      <c r="M48" s="5"/>
      <c r="N48" s="5"/>
      <c r="O48" s="5"/>
      <c r="P48" s="5"/>
    </row>
    <row r="49" spans="1:16" x14ac:dyDescent="0.25">
      <c r="A49" s="139" t="s">
        <v>545</v>
      </c>
      <c r="B49" s="140"/>
      <c r="C49" s="140"/>
      <c r="D49" s="140"/>
      <c r="E49" s="140"/>
      <c r="F49" s="140"/>
      <c r="G49" s="140"/>
      <c r="H49" s="140"/>
      <c r="I49" s="140"/>
      <c r="J49" s="140"/>
      <c r="K49" s="140"/>
      <c r="L49" s="140"/>
      <c r="M49" s="140"/>
      <c r="N49" s="140"/>
      <c r="O49" s="140"/>
      <c r="P49" s="140"/>
    </row>
    <row r="50" spans="1:16" s="7" customFormat="1" ht="52.8" x14ac:dyDescent="0.25">
      <c r="A50" s="6"/>
      <c r="B50" s="5" t="s">
        <v>17</v>
      </c>
      <c r="C50" s="5" t="s">
        <v>906</v>
      </c>
      <c r="D50" s="9" t="s">
        <v>775</v>
      </c>
      <c r="E50" s="5" t="s">
        <v>55</v>
      </c>
      <c r="F50" s="5" t="s">
        <v>21</v>
      </c>
      <c r="G50" s="5" t="s">
        <v>22</v>
      </c>
      <c r="H50" s="5" t="s">
        <v>23</v>
      </c>
      <c r="I50" s="5" t="s">
        <v>792</v>
      </c>
      <c r="J50" s="5" t="s">
        <v>1553</v>
      </c>
      <c r="L50" s="46" t="s">
        <v>673</v>
      </c>
      <c r="M50" s="11" t="s">
        <v>733</v>
      </c>
    </row>
    <row r="51" spans="1:16" s="7" customFormat="1" ht="52.8" x14ac:dyDescent="0.25">
      <c r="A51" s="6"/>
      <c r="B51" s="5" t="s">
        <v>17</v>
      </c>
      <c r="C51" s="5" t="s">
        <v>555</v>
      </c>
      <c r="D51" s="9" t="s">
        <v>776</v>
      </c>
      <c r="E51" s="5" t="s">
        <v>55</v>
      </c>
      <c r="F51" s="5" t="s">
        <v>21</v>
      </c>
      <c r="G51" s="5" t="s">
        <v>22</v>
      </c>
      <c r="H51" s="5" t="s">
        <v>23</v>
      </c>
      <c r="I51" s="5" t="s">
        <v>793</v>
      </c>
      <c r="J51" s="5" t="s">
        <v>1627</v>
      </c>
      <c r="L51" s="46" t="s">
        <v>673</v>
      </c>
      <c r="M51" s="11" t="s">
        <v>637</v>
      </c>
    </row>
    <row r="52" spans="1:16" ht="79.2" x14ac:dyDescent="0.25">
      <c r="A52" s="4">
        <v>33</v>
      </c>
      <c r="B52" s="5" t="s">
        <v>17</v>
      </c>
      <c r="C52" s="5" t="s">
        <v>556</v>
      </c>
      <c r="D52" s="10" t="s">
        <v>777</v>
      </c>
      <c r="E52" s="5" t="s">
        <v>55</v>
      </c>
      <c r="F52" s="5" t="s">
        <v>21</v>
      </c>
      <c r="G52" s="5" t="s">
        <v>22</v>
      </c>
      <c r="H52" s="5" t="s">
        <v>23</v>
      </c>
      <c r="I52" s="5" t="s">
        <v>794</v>
      </c>
      <c r="J52" s="5" t="s">
        <v>1648</v>
      </c>
      <c r="K52" s="5"/>
      <c r="L52" s="46" t="s">
        <v>671</v>
      </c>
      <c r="M52" s="5"/>
      <c r="N52" s="5"/>
      <c r="O52" s="5"/>
      <c r="P52" s="5"/>
    </row>
    <row r="53" spans="1:16" ht="79.2" x14ac:dyDescent="0.25">
      <c r="A53" s="4">
        <v>34</v>
      </c>
      <c r="B53" s="5" t="s">
        <v>17</v>
      </c>
      <c r="C53" s="5" t="s">
        <v>557</v>
      </c>
      <c r="D53" s="10" t="s">
        <v>778</v>
      </c>
      <c r="E53" s="5" t="s">
        <v>55</v>
      </c>
      <c r="F53" s="5" t="s">
        <v>21</v>
      </c>
      <c r="G53" s="5" t="s">
        <v>22</v>
      </c>
      <c r="H53" s="5" t="s">
        <v>23</v>
      </c>
      <c r="I53" s="5" t="s">
        <v>795</v>
      </c>
      <c r="J53" s="5" t="s">
        <v>1648</v>
      </c>
      <c r="K53" s="5"/>
      <c r="L53" s="46" t="s">
        <v>671</v>
      </c>
      <c r="M53" s="5"/>
      <c r="N53" s="5"/>
      <c r="O53" s="5"/>
      <c r="P53" s="5"/>
    </row>
    <row r="54" spans="1:16" x14ac:dyDescent="0.25">
      <c r="A54" s="139" t="s">
        <v>861</v>
      </c>
      <c r="B54" s="140"/>
      <c r="C54" s="140"/>
      <c r="D54" s="140"/>
      <c r="E54" s="140"/>
      <c r="F54" s="140"/>
      <c r="G54" s="140"/>
      <c r="H54" s="140"/>
      <c r="I54" s="140"/>
      <c r="J54" s="140"/>
      <c r="K54" s="140"/>
      <c r="L54" s="140"/>
      <c r="M54" s="140"/>
      <c r="N54" s="140"/>
      <c r="O54" s="140"/>
      <c r="P54" s="140"/>
    </row>
    <row r="55" spans="1:16" s="7" customFormat="1" ht="52.8" x14ac:dyDescent="0.25">
      <c r="A55" s="6"/>
      <c r="B55" s="5" t="s">
        <v>17</v>
      </c>
      <c r="C55" s="5" t="s">
        <v>907</v>
      </c>
      <c r="D55" s="9" t="s">
        <v>775</v>
      </c>
      <c r="E55" s="5" t="s">
        <v>55</v>
      </c>
      <c r="F55" s="5" t="s">
        <v>21</v>
      </c>
      <c r="G55" s="5" t="s">
        <v>22</v>
      </c>
      <c r="H55" s="5" t="s">
        <v>23</v>
      </c>
      <c r="I55" s="5" t="s">
        <v>860</v>
      </c>
      <c r="J55" s="5" t="s">
        <v>1553</v>
      </c>
      <c r="L55" s="46" t="s">
        <v>673</v>
      </c>
      <c r="M55" s="11" t="s">
        <v>733</v>
      </c>
    </row>
    <row r="56" spans="1:16" s="7" customFormat="1" ht="52.8" x14ac:dyDescent="0.25">
      <c r="A56" s="6"/>
      <c r="B56" s="5" t="s">
        <v>17</v>
      </c>
      <c r="C56" s="5" t="s">
        <v>880</v>
      </c>
      <c r="D56" s="9" t="s">
        <v>776</v>
      </c>
      <c r="E56" s="5" t="s">
        <v>55</v>
      </c>
      <c r="F56" s="5" t="s">
        <v>21</v>
      </c>
      <c r="G56" s="5" t="s">
        <v>22</v>
      </c>
      <c r="H56" s="5" t="s">
        <v>23</v>
      </c>
      <c r="I56" s="5" t="s">
        <v>862</v>
      </c>
      <c r="J56" s="5" t="s">
        <v>1627</v>
      </c>
      <c r="L56" s="46" t="s">
        <v>673</v>
      </c>
      <c r="M56" s="11" t="s">
        <v>637</v>
      </c>
    </row>
    <row r="57" spans="1:16" ht="84" x14ac:dyDescent="0.25">
      <c r="A57" s="4">
        <v>35</v>
      </c>
      <c r="B57" s="5" t="s">
        <v>17</v>
      </c>
      <c r="C57" s="5" t="s">
        <v>881</v>
      </c>
      <c r="D57" s="5" t="s">
        <v>546</v>
      </c>
      <c r="E57" s="5" t="s">
        <v>55</v>
      </c>
      <c r="F57" s="5" t="s">
        <v>21</v>
      </c>
      <c r="G57" s="5" t="s">
        <v>22</v>
      </c>
      <c r="H57" s="5" t="s">
        <v>23</v>
      </c>
      <c r="I57" s="5" t="s">
        <v>863</v>
      </c>
      <c r="J57" s="5" t="s">
        <v>1648</v>
      </c>
      <c r="K57" s="5"/>
      <c r="L57" s="46" t="s">
        <v>671</v>
      </c>
      <c r="M57" s="5"/>
      <c r="N57" s="5"/>
      <c r="O57" s="5"/>
      <c r="P57" s="5"/>
    </row>
    <row r="58" spans="1:16" ht="84" x14ac:dyDescent="0.25">
      <c r="A58" s="4">
        <v>36</v>
      </c>
      <c r="B58" s="5" t="s">
        <v>17</v>
      </c>
      <c r="C58" s="5" t="s">
        <v>882</v>
      </c>
      <c r="D58" s="5" t="s">
        <v>548</v>
      </c>
      <c r="E58" s="5" t="s">
        <v>55</v>
      </c>
      <c r="F58" s="5" t="s">
        <v>21</v>
      </c>
      <c r="G58" s="5" t="s">
        <v>22</v>
      </c>
      <c r="H58" s="5" t="s">
        <v>23</v>
      </c>
      <c r="I58" s="5" t="s">
        <v>864</v>
      </c>
      <c r="J58" s="5" t="s">
        <v>1648</v>
      </c>
      <c r="K58" s="5"/>
      <c r="L58" s="46" t="s">
        <v>671</v>
      </c>
      <c r="M58" s="5"/>
      <c r="N58" s="5"/>
      <c r="O58" s="5"/>
      <c r="P58" s="5"/>
    </row>
    <row r="59" spans="1:16" x14ac:dyDescent="0.25">
      <c r="A59" s="139" t="s">
        <v>549</v>
      </c>
      <c r="B59" s="140"/>
      <c r="C59" s="140"/>
      <c r="D59" s="140"/>
      <c r="E59" s="140"/>
      <c r="F59" s="140"/>
      <c r="G59" s="140"/>
      <c r="H59" s="140"/>
      <c r="I59" s="140"/>
      <c r="J59" s="140"/>
      <c r="K59" s="140"/>
      <c r="L59" s="140"/>
      <c r="M59" s="140"/>
      <c r="N59" s="140"/>
      <c r="O59" s="140"/>
      <c r="P59" s="140"/>
    </row>
    <row r="60" spans="1:16" ht="36" x14ac:dyDescent="0.25">
      <c r="A60" s="4">
        <v>37</v>
      </c>
      <c r="B60" s="5" t="s">
        <v>17</v>
      </c>
      <c r="C60" s="5" t="s">
        <v>908</v>
      </c>
      <c r="D60" s="5" t="s">
        <v>865</v>
      </c>
      <c r="E60" s="5" t="s">
        <v>20</v>
      </c>
      <c r="F60" s="5" t="s">
        <v>21</v>
      </c>
      <c r="G60" s="5" t="s">
        <v>22</v>
      </c>
      <c r="H60" s="5" t="s">
        <v>23</v>
      </c>
      <c r="I60" s="5" t="s">
        <v>739</v>
      </c>
      <c r="J60" s="5" t="s">
        <v>738</v>
      </c>
      <c r="K60" s="5"/>
      <c r="L60" s="46" t="s">
        <v>671</v>
      </c>
      <c r="M60" s="5"/>
      <c r="N60" s="5"/>
      <c r="O60" s="5"/>
      <c r="P60" s="5"/>
    </row>
    <row r="61" spans="1:16" ht="36" x14ac:dyDescent="0.25">
      <c r="A61" s="4">
        <v>38</v>
      </c>
      <c r="B61" s="5" t="s">
        <v>17</v>
      </c>
      <c r="C61" s="5" t="s">
        <v>909</v>
      </c>
      <c r="D61" s="5" t="s">
        <v>552</v>
      </c>
      <c r="E61" s="5" t="s">
        <v>20</v>
      </c>
      <c r="F61" s="5" t="s">
        <v>21</v>
      </c>
      <c r="G61" s="5" t="s">
        <v>22</v>
      </c>
      <c r="H61" s="5" t="s">
        <v>23</v>
      </c>
      <c r="I61" s="5" t="s">
        <v>740</v>
      </c>
      <c r="J61" s="5" t="s">
        <v>741</v>
      </c>
      <c r="K61" s="5"/>
      <c r="L61" s="46" t="s">
        <v>671</v>
      </c>
      <c r="M61" s="5"/>
      <c r="N61" s="5"/>
      <c r="O61" s="5"/>
      <c r="P61" s="5"/>
    </row>
    <row r="62" spans="1:16" s="7" customFormat="1" x14ac:dyDescent="0.25">
      <c r="A62" s="139" t="s">
        <v>866</v>
      </c>
      <c r="B62" s="140"/>
      <c r="C62" s="140"/>
      <c r="D62" s="140"/>
      <c r="E62" s="140"/>
      <c r="F62" s="140"/>
      <c r="G62" s="140"/>
      <c r="H62" s="140"/>
      <c r="I62" s="140"/>
      <c r="J62" s="140"/>
      <c r="K62" s="140"/>
      <c r="L62" s="140"/>
      <c r="M62" s="140"/>
      <c r="N62" s="140"/>
      <c r="O62" s="140"/>
      <c r="P62" s="140"/>
    </row>
    <row r="63" spans="1:16" s="7" customFormat="1" ht="60" x14ac:dyDescent="0.25">
      <c r="A63" s="4">
        <v>1</v>
      </c>
      <c r="B63" s="5" t="s">
        <v>17</v>
      </c>
      <c r="C63" s="5" t="s">
        <v>910</v>
      </c>
      <c r="D63" s="5" t="s">
        <v>509</v>
      </c>
      <c r="E63" s="5" t="s">
        <v>20</v>
      </c>
      <c r="F63" s="5" t="s">
        <v>21</v>
      </c>
      <c r="G63" s="5" t="s">
        <v>22</v>
      </c>
      <c r="H63" s="5" t="s">
        <v>23</v>
      </c>
      <c r="I63" s="5" t="s">
        <v>742</v>
      </c>
      <c r="J63" s="5" t="s">
        <v>1520</v>
      </c>
      <c r="K63" s="5" t="s">
        <v>736</v>
      </c>
      <c r="L63" s="46" t="s">
        <v>672</v>
      </c>
      <c r="M63" s="5"/>
      <c r="N63" s="5"/>
      <c r="O63" s="5"/>
      <c r="P63" s="5"/>
    </row>
    <row r="64" spans="1:16" s="7" customFormat="1" ht="48" x14ac:dyDescent="0.25">
      <c r="A64" s="4">
        <v>2</v>
      </c>
      <c r="B64" s="5" t="s">
        <v>17</v>
      </c>
      <c r="C64" s="5" t="s">
        <v>883</v>
      </c>
      <c r="D64" s="5" t="s">
        <v>511</v>
      </c>
      <c r="E64" s="5" t="s">
        <v>20</v>
      </c>
      <c r="F64" s="5" t="s">
        <v>21</v>
      </c>
      <c r="G64" s="5" t="s">
        <v>22</v>
      </c>
      <c r="H64" s="5" t="s">
        <v>23</v>
      </c>
      <c r="I64" s="5" t="s">
        <v>743</v>
      </c>
      <c r="J64" s="5" t="s">
        <v>1627</v>
      </c>
      <c r="K64" s="5"/>
      <c r="L64" s="46" t="s">
        <v>671</v>
      </c>
      <c r="M64" s="5"/>
      <c r="N64" s="5"/>
      <c r="O64" s="5"/>
      <c r="P64" s="5"/>
    </row>
    <row r="65" spans="1:16" s="7" customFormat="1" ht="48" x14ac:dyDescent="0.25">
      <c r="A65" s="4">
        <v>3</v>
      </c>
      <c r="B65" s="5" t="s">
        <v>17</v>
      </c>
      <c r="C65" s="5" t="s">
        <v>884</v>
      </c>
      <c r="D65" s="5" t="s">
        <v>513</v>
      </c>
      <c r="E65" s="5" t="s">
        <v>20</v>
      </c>
      <c r="F65" s="5" t="s">
        <v>21</v>
      </c>
      <c r="G65" s="5" t="s">
        <v>22</v>
      </c>
      <c r="H65" s="5" t="s">
        <v>23</v>
      </c>
      <c r="I65" s="5" t="s">
        <v>752</v>
      </c>
      <c r="J65" s="5" t="s">
        <v>1628</v>
      </c>
      <c r="K65" s="5"/>
      <c r="L65" s="46" t="s">
        <v>671</v>
      </c>
      <c r="M65" s="5"/>
      <c r="N65" s="5"/>
      <c r="O65" s="5"/>
      <c r="P65" s="5"/>
    </row>
    <row r="66" spans="1:16" s="7" customFormat="1" x14ac:dyDescent="0.25">
      <c r="A66" s="139" t="s">
        <v>867</v>
      </c>
      <c r="B66" s="140"/>
      <c r="C66" s="140"/>
      <c r="D66" s="140"/>
      <c r="E66" s="140"/>
      <c r="F66" s="140"/>
      <c r="G66" s="140"/>
      <c r="H66" s="140"/>
      <c r="I66" s="140"/>
      <c r="J66" s="140"/>
      <c r="K66" s="140"/>
      <c r="L66" s="140"/>
      <c r="M66" s="140"/>
      <c r="N66" s="140"/>
      <c r="O66" s="140"/>
      <c r="P66" s="140"/>
    </row>
    <row r="67" spans="1:16" s="7" customFormat="1" ht="48" x14ac:dyDescent="0.25">
      <c r="A67" s="4">
        <v>4</v>
      </c>
      <c r="B67" s="5" t="s">
        <v>17</v>
      </c>
      <c r="C67" s="5" t="s">
        <v>911</v>
      </c>
      <c r="D67" s="5" t="s">
        <v>509</v>
      </c>
      <c r="E67" s="5" t="s">
        <v>20</v>
      </c>
      <c r="F67" s="5" t="s">
        <v>21</v>
      </c>
      <c r="G67" s="5" t="s">
        <v>22</v>
      </c>
      <c r="H67" s="5" t="s">
        <v>23</v>
      </c>
      <c r="I67" s="5" t="s">
        <v>744</v>
      </c>
      <c r="J67" s="5" t="s">
        <v>1509</v>
      </c>
      <c r="K67" s="5"/>
      <c r="L67" s="46" t="s">
        <v>671</v>
      </c>
      <c r="M67" s="5"/>
      <c r="N67" s="5"/>
      <c r="O67" s="5"/>
      <c r="P67" s="5"/>
    </row>
    <row r="68" spans="1:16" s="7" customFormat="1" ht="48" x14ac:dyDescent="0.25">
      <c r="A68" s="4">
        <v>5</v>
      </c>
      <c r="B68" s="5" t="s">
        <v>17</v>
      </c>
      <c r="C68" s="5" t="s">
        <v>912</v>
      </c>
      <c r="D68" s="5" t="s">
        <v>511</v>
      </c>
      <c r="E68" s="5" t="s">
        <v>20</v>
      </c>
      <c r="F68" s="5" t="s">
        <v>21</v>
      </c>
      <c r="G68" s="5" t="s">
        <v>22</v>
      </c>
      <c r="H68" s="5" t="s">
        <v>23</v>
      </c>
      <c r="I68" s="5" t="s">
        <v>745</v>
      </c>
      <c r="J68" s="5" t="s">
        <v>1531</v>
      </c>
      <c r="K68" s="5"/>
      <c r="L68" s="46" t="s">
        <v>671</v>
      </c>
      <c r="M68" s="5"/>
      <c r="N68" s="5"/>
      <c r="O68" s="5"/>
      <c r="P68" s="5"/>
    </row>
    <row r="69" spans="1:16" s="7" customFormat="1" ht="48" x14ac:dyDescent="0.25">
      <c r="A69" s="4">
        <v>6</v>
      </c>
      <c r="B69" s="5" t="s">
        <v>17</v>
      </c>
      <c r="C69" s="5" t="s">
        <v>885</v>
      </c>
      <c r="D69" s="5" t="s">
        <v>513</v>
      </c>
      <c r="E69" s="5" t="s">
        <v>20</v>
      </c>
      <c r="F69" s="5" t="s">
        <v>21</v>
      </c>
      <c r="G69" s="5" t="s">
        <v>22</v>
      </c>
      <c r="H69" s="5" t="s">
        <v>23</v>
      </c>
      <c r="I69" s="5" t="s">
        <v>753</v>
      </c>
      <c r="J69" s="5" t="s">
        <v>1629</v>
      </c>
      <c r="K69" s="5"/>
      <c r="L69" s="46" t="s">
        <v>671</v>
      </c>
      <c r="M69" s="5"/>
      <c r="N69" s="5"/>
      <c r="O69" s="5"/>
      <c r="P69" s="5"/>
    </row>
    <row r="70" spans="1:16" s="7" customFormat="1" x14ac:dyDescent="0.25">
      <c r="A70" s="139" t="s">
        <v>868</v>
      </c>
      <c r="B70" s="140"/>
      <c r="C70" s="140"/>
      <c r="D70" s="140"/>
      <c r="E70" s="140"/>
      <c r="F70" s="140"/>
      <c r="G70" s="140"/>
      <c r="H70" s="140"/>
      <c r="I70" s="140"/>
      <c r="J70" s="140"/>
      <c r="K70" s="140"/>
      <c r="L70" s="140"/>
      <c r="M70" s="140"/>
      <c r="N70" s="140"/>
      <c r="O70" s="140"/>
      <c r="P70" s="140"/>
    </row>
    <row r="71" spans="1:16" s="7" customFormat="1" ht="48" x14ac:dyDescent="0.25">
      <c r="A71" s="4">
        <v>7</v>
      </c>
      <c r="B71" s="5" t="s">
        <v>17</v>
      </c>
      <c r="C71" s="5" t="s">
        <v>913</v>
      </c>
      <c r="D71" s="5" t="s">
        <v>516</v>
      </c>
      <c r="E71" s="5" t="s">
        <v>20</v>
      </c>
      <c r="F71" s="5" t="s">
        <v>21</v>
      </c>
      <c r="G71" s="5" t="s">
        <v>22</v>
      </c>
      <c r="H71" s="5" t="s">
        <v>23</v>
      </c>
      <c r="I71" s="5" t="s">
        <v>746</v>
      </c>
      <c r="J71" s="5" t="s">
        <v>1509</v>
      </c>
      <c r="K71" s="5"/>
      <c r="L71" s="46" t="s">
        <v>671</v>
      </c>
      <c r="M71" s="5"/>
      <c r="N71" s="5"/>
      <c r="O71" s="5"/>
      <c r="P71" s="5"/>
    </row>
    <row r="72" spans="1:16" s="7" customFormat="1" ht="48" x14ac:dyDescent="0.25">
      <c r="A72" s="4">
        <v>8</v>
      </c>
      <c r="B72" s="5" t="s">
        <v>17</v>
      </c>
      <c r="C72" s="5" t="s">
        <v>914</v>
      </c>
      <c r="D72" s="5" t="s">
        <v>518</v>
      </c>
      <c r="E72" s="5" t="s">
        <v>20</v>
      </c>
      <c r="F72" s="5" t="s">
        <v>21</v>
      </c>
      <c r="G72" s="5" t="s">
        <v>22</v>
      </c>
      <c r="H72" s="5" t="s">
        <v>23</v>
      </c>
      <c r="I72" s="5" t="s">
        <v>747</v>
      </c>
      <c r="J72" s="5" t="s">
        <v>1531</v>
      </c>
      <c r="K72" s="5"/>
      <c r="L72" s="46" t="s">
        <v>671</v>
      </c>
      <c r="M72" s="5"/>
      <c r="N72" s="5"/>
      <c r="O72" s="5"/>
      <c r="P72" s="5"/>
    </row>
    <row r="73" spans="1:16" s="7" customFormat="1" ht="50.4" customHeight="1" x14ac:dyDescent="0.25">
      <c r="A73" s="4">
        <v>9</v>
      </c>
      <c r="B73" s="5" t="s">
        <v>17</v>
      </c>
      <c r="C73" s="5" t="s">
        <v>915</v>
      </c>
      <c r="D73" s="5" t="s">
        <v>520</v>
      </c>
      <c r="E73" s="5" t="s">
        <v>20</v>
      </c>
      <c r="F73" s="5" t="s">
        <v>21</v>
      </c>
      <c r="G73" s="5" t="s">
        <v>22</v>
      </c>
      <c r="H73" s="5" t="s">
        <v>23</v>
      </c>
      <c r="I73" s="5" t="s">
        <v>754</v>
      </c>
      <c r="J73" s="5" t="s">
        <v>1629</v>
      </c>
      <c r="K73" s="5"/>
      <c r="L73" s="46" t="s">
        <v>671</v>
      </c>
      <c r="M73" s="5"/>
      <c r="N73" s="5"/>
      <c r="O73" s="5"/>
      <c r="P73" s="5"/>
    </row>
    <row r="74" spans="1:16" s="7" customFormat="1" x14ac:dyDescent="0.25">
      <c r="A74" s="139" t="s">
        <v>869</v>
      </c>
      <c r="B74" s="140"/>
      <c r="C74" s="140"/>
      <c r="D74" s="140"/>
      <c r="E74" s="140"/>
      <c r="F74" s="140"/>
      <c r="G74" s="140"/>
      <c r="H74" s="140"/>
      <c r="I74" s="140"/>
      <c r="J74" s="140"/>
      <c r="K74" s="140"/>
      <c r="L74" s="140"/>
      <c r="M74" s="140"/>
      <c r="N74" s="140"/>
      <c r="O74" s="140"/>
      <c r="P74" s="140"/>
    </row>
    <row r="75" spans="1:16" s="7" customFormat="1" ht="48" x14ac:dyDescent="0.25">
      <c r="A75" s="4">
        <v>10</v>
      </c>
      <c r="B75" s="5" t="s">
        <v>17</v>
      </c>
      <c r="C75" s="5" t="s">
        <v>916</v>
      </c>
      <c r="D75" s="5" t="s">
        <v>516</v>
      </c>
      <c r="E75" s="5" t="s">
        <v>20</v>
      </c>
      <c r="F75" s="5" t="s">
        <v>21</v>
      </c>
      <c r="G75" s="5" t="s">
        <v>22</v>
      </c>
      <c r="H75" s="5" t="s">
        <v>23</v>
      </c>
      <c r="I75" s="5" t="s">
        <v>748</v>
      </c>
      <c r="J75" s="5" t="s">
        <v>1509</v>
      </c>
      <c r="K75" s="5"/>
      <c r="L75" s="46" t="s">
        <v>671</v>
      </c>
      <c r="M75" s="5"/>
      <c r="N75" s="5"/>
      <c r="O75" s="5"/>
      <c r="P75" s="5"/>
    </row>
    <row r="76" spans="1:16" s="7" customFormat="1" ht="48" x14ac:dyDescent="0.25">
      <c r="A76" s="4">
        <v>11</v>
      </c>
      <c r="B76" s="5" t="s">
        <v>17</v>
      </c>
      <c r="C76" s="5" t="s">
        <v>886</v>
      </c>
      <c r="D76" s="5" t="s">
        <v>518</v>
      </c>
      <c r="E76" s="5" t="s">
        <v>20</v>
      </c>
      <c r="F76" s="5" t="s">
        <v>21</v>
      </c>
      <c r="G76" s="5" t="s">
        <v>22</v>
      </c>
      <c r="H76" s="5" t="s">
        <v>23</v>
      </c>
      <c r="I76" s="5" t="s">
        <v>749</v>
      </c>
      <c r="J76" s="5" t="s">
        <v>1531</v>
      </c>
      <c r="K76" s="5"/>
      <c r="L76" s="46" t="s">
        <v>671</v>
      </c>
      <c r="M76" s="5"/>
      <c r="N76" s="5"/>
      <c r="O76" s="5"/>
      <c r="P76" s="5"/>
    </row>
    <row r="77" spans="1:16" s="7" customFormat="1" ht="60" x14ac:dyDescent="0.25">
      <c r="A77" s="4">
        <v>12</v>
      </c>
      <c r="B77" s="5" t="s">
        <v>17</v>
      </c>
      <c r="C77" s="5" t="s">
        <v>887</v>
      </c>
      <c r="D77" s="5" t="s">
        <v>520</v>
      </c>
      <c r="E77" s="5" t="s">
        <v>20</v>
      </c>
      <c r="F77" s="5" t="s">
        <v>21</v>
      </c>
      <c r="G77" s="5" t="s">
        <v>22</v>
      </c>
      <c r="H77" s="5" t="s">
        <v>23</v>
      </c>
      <c r="I77" s="5" t="s">
        <v>755</v>
      </c>
      <c r="J77" s="5" t="s">
        <v>1629</v>
      </c>
      <c r="K77" s="5"/>
      <c r="L77" s="46" t="s">
        <v>671</v>
      </c>
      <c r="M77" s="5"/>
      <c r="N77" s="5"/>
      <c r="O77" s="5"/>
      <c r="P77" s="5"/>
    </row>
    <row r="78" spans="1:16" s="7" customFormat="1" x14ac:dyDescent="0.25">
      <c r="A78" s="139" t="s">
        <v>870</v>
      </c>
      <c r="B78" s="140"/>
      <c r="C78" s="140"/>
      <c r="D78" s="140"/>
      <c r="E78" s="140"/>
      <c r="F78" s="140"/>
      <c r="G78" s="140"/>
      <c r="H78" s="140"/>
      <c r="I78" s="140"/>
      <c r="J78" s="140"/>
      <c r="K78" s="140"/>
      <c r="L78" s="140"/>
      <c r="M78" s="140"/>
      <c r="N78" s="140"/>
      <c r="O78" s="140"/>
      <c r="P78" s="140"/>
    </row>
    <row r="79" spans="1:16" s="7" customFormat="1" ht="100.2" customHeight="1" x14ac:dyDescent="0.25">
      <c r="A79" s="4">
        <v>13</v>
      </c>
      <c r="B79" s="5" t="s">
        <v>17</v>
      </c>
      <c r="C79" s="5" t="s">
        <v>917</v>
      </c>
      <c r="D79" s="5" t="s">
        <v>523</v>
      </c>
      <c r="E79" s="5" t="s">
        <v>20</v>
      </c>
      <c r="F79" s="5" t="s">
        <v>21</v>
      </c>
      <c r="G79" s="5" t="s">
        <v>22</v>
      </c>
      <c r="H79" s="5" t="s">
        <v>23</v>
      </c>
      <c r="I79" s="5" t="s">
        <v>756</v>
      </c>
      <c r="J79" s="5" t="s">
        <v>1630</v>
      </c>
      <c r="K79" s="5"/>
      <c r="L79" s="46" t="s">
        <v>672</v>
      </c>
      <c r="M79" s="5"/>
      <c r="N79" s="5"/>
      <c r="O79" s="5"/>
      <c r="P79" s="5"/>
    </row>
    <row r="80" spans="1:16" s="7" customFormat="1" ht="72" x14ac:dyDescent="0.25">
      <c r="A80" s="4">
        <v>14</v>
      </c>
      <c r="B80" s="5" t="s">
        <v>17</v>
      </c>
      <c r="C80" s="5" t="s">
        <v>918</v>
      </c>
      <c r="D80" s="5" t="s">
        <v>525</v>
      </c>
      <c r="E80" s="5" t="s">
        <v>20</v>
      </c>
      <c r="F80" s="5" t="s">
        <v>21</v>
      </c>
      <c r="G80" s="5" t="s">
        <v>22</v>
      </c>
      <c r="H80" s="5" t="s">
        <v>23</v>
      </c>
      <c r="I80" s="5" t="s">
        <v>757</v>
      </c>
      <c r="J80" s="5" t="s">
        <v>1631</v>
      </c>
      <c r="K80" s="5"/>
      <c r="L80" s="46" t="s">
        <v>671</v>
      </c>
      <c r="M80" s="5"/>
      <c r="N80" s="5"/>
      <c r="O80" s="5"/>
      <c r="P80" s="5"/>
    </row>
    <row r="81" spans="1:16" s="7" customFormat="1" x14ac:dyDescent="0.25">
      <c r="A81" s="139" t="s">
        <v>871</v>
      </c>
      <c r="B81" s="140"/>
      <c r="C81" s="140"/>
      <c r="D81" s="140"/>
      <c r="E81" s="140"/>
      <c r="F81" s="140"/>
      <c r="G81" s="140"/>
      <c r="H81" s="140"/>
      <c r="I81" s="140"/>
      <c r="J81" s="140"/>
      <c r="K81" s="140"/>
      <c r="L81" s="140"/>
      <c r="M81" s="140"/>
      <c r="N81" s="140"/>
      <c r="O81" s="140"/>
      <c r="P81" s="140"/>
    </row>
    <row r="82" spans="1:16" s="7" customFormat="1" ht="72" x14ac:dyDescent="0.25">
      <c r="A82" s="4">
        <v>15</v>
      </c>
      <c r="B82" s="5" t="s">
        <v>17</v>
      </c>
      <c r="C82" s="5" t="s">
        <v>919</v>
      </c>
      <c r="D82" s="5" t="s">
        <v>523</v>
      </c>
      <c r="E82" s="5" t="s">
        <v>20</v>
      </c>
      <c r="F82" s="5" t="s">
        <v>21</v>
      </c>
      <c r="G82" s="5" t="s">
        <v>22</v>
      </c>
      <c r="H82" s="5" t="s">
        <v>23</v>
      </c>
      <c r="I82" s="5" t="s">
        <v>758</v>
      </c>
      <c r="J82" s="5" t="s">
        <v>1632</v>
      </c>
      <c r="K82" s="5"/>
      <c r="L82" s="46" t="s">
        <v>671</v>
      </c>
      <c r="M82" s="5"/>
      <c r="N82" s="5"/>
      <c r="O82" s="5"/>
      <c r="P82" s="5"/>
    </row>
    <row r="83" spans="1:16" s="7" customFormat="1" ht="72" x14ac:dyDescent="0.25">
      <c r="A83" s="4">
        <v>16</v>
      </c>
      <c r="B83" s="5" t="s">
        <v>17</v>
      </c>
      <c r="C83" s="5" t="s">
        <v>888</v>
      </c>
      <c r="D83" s="5" t="s">
        <v>525</v>
      </c>
      <c r="E83" s="5" t="s">
        <v>20</v>
      </c>
      <c r="F83" s="5" t="s">
        <v>21</v>
      </c>
      <c r="G83" s="5" t="s">
        <v>22</v>
      </c>
      <c r="H83" s="5" t="s">
        <v>23</v>
      </c>
      <c r="I83" s="5" t="s">
        <v>759</v>
      </c>
      <c r="J83" s="5" t="s">
        <v>1631</v>
      </c>
      <c r="K83" s="5"/>
      <c r="L83" s="46" t="s">
        <v>671</v>
      </c>
      <c r="M83" s="5"/>
      <c r="N83" s="5"/>
      <c r="O83" s="5"/>
      <c r="P83" s="5"/>
    </row>
    <row r="84" spans="1:16" s="7" customFormat="1" x14ac:dyDescent="0.25">
      <c r="A84" s="139" t="s">
        <v>872</v>
      </c>
      <c r="B84" s="140"/>
      <c r="C84" s="140"/>
      <c r="D84" s="140"/>
      <c r="E84" s="140"/>
      <c r="F84" s="140"/>
      <c r="G84" s="140"/>
      <c r="H84" s="140"/>
      <c r="I84" s="140"/>
      <c r="J84" s="140"/>
      <c r="K84" s="140"/>
      <c r="L84" s="140"/>
      <c r="M84" s="140"/>
      <c r="N84" s="140"/>
      <c r="O84" s="140"/>
      <c r="P84" s="140"/>
    </row>
    <row r="85" spans="1:16" s="7" customFormat="1" ht="96" x14ac:dyDescent="0.25">
      <c r="A85" s="4">
        <v>17</v>
      </c>
      <c r="B85" s="5" t="s">
        <v>17</v>
      </c>
      <c r="C85" s="5" t="s">
        <v>920</v>
      </c>
      <c r="D85" s="5" t="s">
        <v>528</v>
      </c>
      <c r="E85" s="5" t="s">
        <v>20</v>
      </c>
      <c r="F85" s="5" t="s">
        <v>21</v>
      </c>
      <c r="G85" s="5" t="s">
        <v>22</v>
      </c>
      <c r="H85" s="5" t="s">
        <v>23</v>
      </c>
      <c r="I85" s="5" t="s">
        <v>760</v>
      </c>
      <c r="J85" s="5" t="s">
        <v>1633</v>
      </c>
      <c r="K85" s="5"/>
      <c r="L85" s="46" t="s">
        <v>671</v>
      </c>
      <c r="M85" s="5"/>
      <c r="N85" s="5"/>
      <c r="O85" s="5"/>
      <c r="P85" s="5"/>
    </row>
    <row r="86" spans="1:16" s="7" customFormat="1" ht="96" x14ac:dyDescent="0.25">
      <c r="A86" s="4">
        <v>18</v>
      </c>
      <c r="B86" s="5" t="s">
        <v>17</v>
      </c>
      <c r="C86" s="5" t="s">
        <v>921</v>
      </c>
      <c r="D86" s="5" t="s">
        <v>529</v>
      </c>
      <c r="E86" s="5" t="s">
        <v>20</v>
      </c>
      <c r="F86" s="5" t="s">
        <v>21</v>
      </c>
      <c r="G86" s="5" t="s">
        <v>22</v>
      </c>
      <c r="H86" s="5" t="s">
        <v>23</v>
      </c>
      <c r="I86" s="5" t="s">
        <v>762</v>
      </c>
      <c r="J86" s="5" t="s">
        <v>1633</v>
      </c>
      <c r="K86" s="5"/>
      <c r="L86" s="46" t="s">
        <v>671</v>
      </c>
      <c r="M86" s="5"/>
      <c r="N86" s="5"/>
      <c r="O86" s="5"/>
      <c r="P86" s="5"/>
    </row>
    <row r="87" spans="1:16" s="7" customFormat="1" ht="108" x14ac:dyDescent="0.25">
      <c r="A87" s="4">
        <v>19</v>
      </c>
      <c r="B87" s="5" t="s">
        <v>17</v>
      </c>
      <c r="C87" s="5" t="s">
        <v>922</v>
      </c>
      <c r="D87" s="5" t="s">
        <v>531</v>
      </c>
      <c r="E87" s="5" t="s">
        <v>20</v>
      </c>
      <c r="F87" s="5" t="s">
        <v>21</v>
      </c>
      <c r="G87" s="5" t="s">
        <v>22</v>
      </c>
      <c r="H87" s="5" t="s">
        <v>23</v>
      </c>
      <c r="I87" s="5" t="s">
        <v>761</v>
      </c>
      <c r="J87" s="5" t="s">
        <v>1634</v>
      </c>
      <c r="K87" s="5"/>
      <c r="L87" s="46" t="s">
        <v>671</v>
      </c>
      <c r="M87" s="5"/>
      <c r="N87" s="5"/>
      <c r="O87" s="5"/>
      <c r="P87" s="5"/>
    </row>
    <row r="88" spans="1:16" s="7" customFormat="1" ht="108" x14ac:dyDescent="0.25">
      <c r="A88" s="4">
        <v>20</v>
      </c>
      <c r="B88" s="5" t="s">
        <v>17</v>
      </c>
      <c r="C88" s="5" t="s">
        <v>923</v>
      </c>
      <c r="D88" s="5" t="s">
        <v>533</v>
      </c>
      <c r="E88" s="5" t="s">
        <v>20</v>
      </c>
      <c r="F88" s="5" t="s">
        <v>21</v>
      </c>
      <c r="G88" s="5" t="s">
        <v>22</v>
      </c>
      <c r="H88" s="5" t="s">
        <v>23</v>
      </c>
      <c r="I88" s="5" t="s">
        <v>763</v>
      </c>
      <c r="J88" s="5" t="s">
        <v>1634</v>
      </c>
      <c r="K88" s="5"/>
      <c r="L88" s="46" t="s">
        <v>671</v>
      </c>
      <c r="M88" s="5"/>
      <c r="N88" s="5"/>
      <c r="O88" s="5"/>
      <c r="P88" s="5"/>
    </row>
    <row r="89" spans="1:16" s="7" customFormat="1" x14ac:dyDescent="0.25">
      <c r="A89" s="139" t="s">
        <v>534</v>
      </c>
      <c r="B89" s="140"/>
      <c r="C89" s="140"/>
      <c r="D89" s="140"/>
      <c r="E89" s="140"/>
      <c r="F89" s="140"/>
      <c r="G89" s="140"/>
      <c r="H89" s="140"/>
      <c r="I89" s="140"/>
      <c r="J89" s="140"/>
      <c r="K89" s="140"/>
      <c r="L89" s="140"/>
      <c r="M89" s="140"/>
      <c r="N89" s="140"/>
      <c r="O89" s="140"/>
      <c r="P89" s="140"/>
    </row>
    <row r="90" spans="1:16" s="7" customFormat="1" ht="69" customHeight="1" x14ac:dyDescent="0.25">
      <c r="A90" s="4">
        <v>21</v>
      </c>
      <c r="B90" s="5" t="s">
        <v>17</v>
      </c>
      <c r="C90" s="5" t="s">
        <v>924</v>
      </c>
      <c r="D90" s="5" t="s">
        <v>528</v>
      </c>
      <c r="E90" s="5" t="s">
        <v>20</v>
      </c>
      <c r="F90" s="5" t="s">
        <v>21</v>
      </c>
      <c r="G90" s="5" t="s">
        <v>22</v>
      </c>
      <c r="H90" s="5" t="s">
        <v>23</v>
      </c>
      <c r="I90" s="5" t="s">
        <v>764</v>
      </c>
      <c r="J90" s="5" t="s">
        <v>1635</v>
      </c>
      <c r="K90" s="5"/>
      <c r="L90" s="46" t="s">
        <v>671</v>
      </c>
      <c r="M90" s="5"/>
      <c r="N90" s="5"/>
      <c r="O90" s="5"/>
      <c r="P90" s="5"/>
    </row>
    <row r="91" spans="1:16" s="7" customFormat="1" ht="69" customHeight="1" x14ac:dyDescent="0.25">
      <c r="A91" s="4">
        <v>22</v>
      </c>
      <c r="B91" s="5" t="s">
        <v>17</v>
      </c>
      <c r="C91" s="5" t="s">
        <v>889</v>
      </c>
      <c r="D91" s="5" t="s">
        <v>529</v>
      </c>
      <c r="E91" s="5" t="s">
        <v>20</v>
      </c>
      <c r="F91" s="5" t="s">
        <v>21</v>
      </c>
      <c r="G91" s="5" t="s">
        <v>22</v>
      </c>
      <c r="H91" s="5" t="s">
        <v>23</v>
      </c>
      <c r="I91" s="5" t="s">
        <v>941</v>
      </c>
      <c r="J91" s="5" t="s">
        <v>1635</v>
      </c>
      <c r="K91" s="5"/>
      <c r="L91" s="46" t="s">
        <v>671</v>
      </c>
      <c r="M91" s="5"/>
      <c r="N91" s="5"/>
      <c r="O91" s="5"/>
      <c r="P91" s="5"/>
    </row>
    <row r="92" spans="1:16" s="7" customFormat="1" ht="69" customHeight="1" x14ac:dyDescent="0.25">
      <c r="A92" s="4">
        <v>23</v>
      </c>
      <c r="B92" s="5" t="s">
        <v>17</v>
      </c>
      <c r="C92" s="5" t="s">
        <v>890</v>
      </c>
      <c r="D92" s="5" t="s">
        <v>531</v>
      </c>
      <c r="E92" s="5" t="s">
        <v>20</v>
      </c>
      <c r="F92" s="5" t="s">
        <v>21</v>
      </c>
      <c r="G92" s="5" t="s">
        <v>22</v>
      </c>
      <c r="H92" s="5" t="s">
        <v>23</v>
      </c>
      <c r="I92" s="5" t="s">
        <v>943</v>
      </c>
      <c r="J92" s="5" t="s">
        <v>1634</v>
      </c>
      <c r="K92" s="5"/>
      <c r="L92" s="46" t="s">
        <v>671</v>
      </c>
      <c r="M92" s="5"/>
      <c r="N92" s="5"/>
      <c r="O92" s="5"/>
      <c r="P92" s="5"/>
    </row>
    <row r="93" spans="1:16" s="7" customFormat="1" ht="69" customHeight="1" x14ac:dyDescent="0.25">
      <c r="A93" s="4">
        <v>24</v>
      </c>
      <c r="B93" s="5" t="s">
        <v>17</v>
      </c>
      <c r="C93" s="5" t="s">
        <v>891</v>
      </c>
      <c r="D93" s="5" t="s">
        <v>533</v>
      </c>
      <c r="E93" s="5" t="s">
        <v>20</v>
      </c>
      <c r="F93" s="5" t="s">
        <v>21</v>
      </c>
      <c r="G93" s="5" t="s">
        <v>22</v>
      </c>
      <c r="H93" s="5" t="s">
        <v>23</v>
      </c>
      <c r="I93" s="5" t="s">
        <v>942</v>
      </c>
      <c r="J93" s="5" t="s">
        <v>1634</v>
      </c>
      <c r="K93" s="5"/>
      <c r="L93" s="46" t="s">
        <v>671</v>
      </c>
      <c r="M93" s="5"/>
      <c r="N93" s="5"/>
      <c r="O93" s="5"/>
      <c r="P93" s="5"/>
    </row>
    <row r="94" spans="1:16" s="7" customFormat="1" x14ac:dyDescent="0.25">
      <c r="A94" s="139" t="s">
        <v>873</v>
      </c>
      <c r="B94" s="140"/>
      <c r="C94" s="140"/>
      <c r="D94" s="140"/>
      <c r="E94" s="140"/>
      <c r="F94" s="140"/>
      <c r="G94" s="140"/>
      <c r="H94" s="140"/>
      <c r="I94" s="140"/>
      <c r="J94" s="140"/>
      <c r="K94" s="140"/>
      <c r="L94" s="140"/>
      <c r="M94" s="140"/>
      <c r="N94" s="140"/>
      <c r="O94" s="140"/>
      <c r="P94" s="140"/>
    </row>
    <row r="95" spans="1:16" s="7" customFormat="1" ht="108" x14ac:dyDescent="0.25">
      <c r="A95" s="4">
        <v>25</v>
      </c>
      <c r="B95" s="5" t="s">
        <v>17</v>
      </c>
      <c r="C95" s="5" t="s">
        <v>925</v>
      </c>
      <c r="D95" s="5" t="s">
        <v>536</v>
      </c>
      <c r="E95" s="5" t="s">
        <v>55</v>
      </c>
      <c r="F95" s="5" t="s">
        <v>21</v>
      </c>
      <c r="G95" s="5" t="s">
        <v>22</v>
      </c>
      <c r="H95" s="5" t="s">
        <v>23</v>
      </c>
      <c r="I95" s="5" t="s">
        <v>768</v>
      </c>
      <c r="J95" s="5" t="s">
        <v>1633</v>
      </c>
      <c r="K95" s="5"/>
      <c r="L95" s="46" t="s">
        <v>671</v>
      </c>
      <c r="M95" s="5"/>
      <c r="N95" s="5"/>
      <c r="O95" s="5"/>
      <c r="P95" s="5"/>
    </row>
    <row r="96" spans="1:16" s="7" customFormat="1" ht="108" x14ac:dyDescent="0.25">
      <c r="A96" s="4">
        <v>26</v>
      </c>
      <c r="B96" s="5" t="s">
        <v>17</v>
      </c>
      <c r="C96" s="5" t="s">
        <v>892</v>
      </c>
      <c r="D96" s="5" t="s">
        <v>538</v>
      </c>
      <c r="E96" s="5" t="s">
        <v>55</v>
      </c>
      <c r="F96" s="5" t="s">
        <v>21</v>
      </c>
      <c r="G96" s="5" t="s">
        <v>22</v>
      </c>
      <c r="H96" s="5" t="s">
        <v>23</v>
      </c>
      <c r="I96" s="5" t="s">
        <v>769</v>
      </c>
      <c r="J96" s="5" t="s">
        <v>1636</v>
      </c>
      <c r="K96" s="5"/>
      <c r="L96" s="46" t="s">
        <v>671</v>
      </c>
      <c r="M96" s="5"/>
      <c r="N96" s="5"/>
      <c r="O96" s="5"/>
      <c r="P96" s="5"/>
    </row>
    <row r="97" spans="1:16" s="7" customFormat="1" ht="120" x14ac:dyDescent="0.25">
      <c r="A97" s="4">
        <v>27</v>
      </c>
      <c r="B97" s="5" t="s">
        <v>17</v>
      </c>
      <c r="C97" s="5" t="s">
        <v>893</v>
      </c>
      <c r="D97" s="5" t="s">
        <v>539</v>
      </c>
      <c r="E97" s="5" t="s">
        <v>20</v>
      </c>
      <c r="F97" s="5" t="s">
        <v>21</v>
      </c>
      <c r="G97" s="5" t="s">
        <v>22</v>
      </c>
      <c r="H97" s="5" t="s">
        <v>23</v>
      </c>
      <c r="I97" s="5" t="s">
        <v>770</v>
      </c>
      <c r="J97" s="5" t="s">
        <v>1637</v>
      </c>
      <c r="K97" s="5"/>
      <c r="L97" s="46" t="s">
        <v>671</v>
      </c>
      <c r="M97" s="5"/>
      <c r="N97" s="5"/>
      <c r="O97" s="5"/>
      <c r="P97" s="5"/>
    </row>
    <row r="98" spans="1:16" s="7" customFormat="1" x14ac:dyDescent="0.25">
      <c r="A98" s="139" t="s">
        <v>874</v>
      </c>
      <c r="B98" s="140"/>
      <c r="C98" s="140"/>
      <c r="D98" s="140"/>
      <c r="E98" s="140"/>
      <c r="F98" s="140"/>
      <c r="G98" s="140"/>
      <c r="H98" s="140"/>
      <c r="I98" s="140"/>
      <c r="J98" s="140"/>
      <c r="K98" s="140"/>
      <c r="L98" s="140"/>
      <c r="M98" s="140"/>
      <c r="N98" s="140"/>
      <c r="O98" s="140"/>
      <c r="P98" s="140"/>
    </row>
    <row r="99" spans="1:16" s="7" customFormat="1" ht="108" x14ac:dyDescent="0.25">
      <c r="A99" s="4">
        <v>28</v>
      </c>
      <c r="B99" s="5" t="s">
        <v>17</v>
      </c>
      <c r="C99" s="5" t="s">
        <v>926</v>
      </c>
      <c r="D99" s="5" t="s">
        <v>536</v>
      </c>
      <c r="E99" s="5" t="s">
        <v>55</v>
      </c>
      <c r="F99" s="5" t="s">
        <v>21</v>
      </c>
      <c r="G99" s="5" t="s">
        <v>22</v>
      </c>
      <c r="H99" s="5" t="s">
        <v>23</v>
      </c>
      <c r="I99" s="5" t="s">
        <v>771</v>
      </c>
      <c r="J99" s="5" t="s">
        <v>1635</v>
      </c>
      <c r="K99" s="5"/>
      <c r="L99" s="46" t="s">
        <v>671</v>
      </c>
      <c r="M99" s="5"/>
      <c r="N99" s="5"/>
      <c r="O99" s="5"/>
      <c r="P99" s="5"/>
    </row>
    <row r="100" spans="1:16" s="7" customFormat="1" ht="108" x14ac:dyDescent="0.25">
      <c r="A100" s="4">
        <v>29</v>
      </c>
      <c r="B100" s="5" t="s">
        <v>17</v>
      </c>
      <c r="C100" s="5" t="s">
        <v>927</v>
      </c>
      <c r="D100" s="5" t="s">
        <v>538</v>
      </c>
      <c r="E100" s="5" t="s">
        <v>55</v>
      </c>
      <c r="F100" s="5" t="s">
        <v>21</v>
      </c>
      <c r="G100" s="5" t="s">
        <v>22</v>
      </c>
      <c r="H100" s="5" t="s">
        <v>23</v>
      </c>
      <c r="I100" s="5" t="s">
        <v>772</v>
      </c>
      <c r="J100" s="5" t="s">
        <v>1638</v>
      </c>
      <c r="K100" s="5"/>
      <c r="L100" s="46" t="s">
        <v>671</v>
      </c>
      <c r="M100" s="5"/>
      <c r="N100" s="5"/>
      <c r="O100" s="5"/>
      <c r="P100" s="5"/>
    </row>
    <row r="101" spans="1:16" s="7" customFormat="1" ht="120" x14ac:dyDescent="0.25">
      <c r="A101" s="4">
        <v>30</v>
      </c>
      <c r="B101" s="5" t="s">
        <v>17</v>
      </c>
      <c r="C101" s="5" t="s">
        <v>928</v>
      </c>
      <c r="D101" s="5" t="s">
        <v>539</v>
      </c>
      <c r="E101" s="5" t="s">
        <v>20</v>
      </c>
      <c r="F101" s="5" t="s">
        <v>21</v>
      </c>
      <c r="G101" s="5" t="s">
        <v>22</v>
      </c>
      <c r="H101" s="5" t="s">
        <v>23</v>
      </c>
      <c r="I101" s="5" t="s">
        <v>773</v>
      </c>
      <c r="J101" s="5" t="s">
        <v>1639</v>
      </c>
      <c r="K101" s="5"/>
      <c r="L101" s="46" t="s">
        <v>671</v>
      </c>
      <c r="M101" s="5"/>
      <c r="N101" s="5"/>
      <c r="O101" s="5"/>
      <c r="P101" s="5"/>
    </row>
    <row r="102" spans="1:16" s="7" customFormat="1" x14ac:dyDescent="0.25">
      <c r="A102" s="139" t="s">
        <v>875</v>
      </c>
      <c r="B102" s="140"/>
      <c r="C102" s="140"/>
      <c r="D102" s="140"/>
      <c r="E102" s="140"/>
      <c r="F102" s="140"/>
      <c r="G102" s="140"/>
      <c r="H102" s="140"/>
      <c r="I102" s="140"/>
      <c r="J102" s="140"/>
      <c r="K102" s="140"/>
      <c r="L102" s="140"/>
      <c r="M102" s="140"/>
      <c r="N102" s="140"/>
      <c r="O102" s="140"/>
      <c r="P102" s="140"/>
    </row>
    <row r="103" spans="1:16" s="7" customFormat="1" ht="48" x14ac:dyDescent="0.25">
      <c r="A103" s="4">
        <v>31</v>
      </c>
      <c r="B103" s="5" t="s">
        <v>17</v>
      </c>
      <c r="C103" s="5" t="s">
        <v>929</v>
      </c>
      <c r="D103" s="5" t="s">
        <v>542</v>
      </c>
      <c r="E103" s="5" t="s">
        <v>61</v>
      </c>
      <c r="F103" s="5" t="s">
        <v>21</v>
      </c>
      <c r="G103" s="5" t="s">
        <v>22</v>
      </c>
      <c r="H103" s="5" t="s">
        <v>23</v>
      </c>
      <c r="I103" s="5" t="s">
        <v>750</v>
      </c>
      <c r="J103" s="5" t="s">
        <v>1508</v>
      </c>
      <c r="K103" s="5"/>
      <c r="L103" s="46" t="s">
        <v>672</v>
      </c>
      <c r="M103" s="5" t="s">
        <v>774</v>
      </c>
      <c r="N103" s="5"/>
      <c r="O103" s="5"/>
      <c r="P103" s="5"/>
    </row>
    <row r="104" spans="1:16" s="7" customFormat="1" x14ac:dyDescent="0.25">
      <c r="A104" s="139" t="s">
        <v>876</v>
      </c>
      <c r="B104" s="140"/>
      <c r="C104" s="140"/>
      <c r="D104" s="140"/>
      <c r="E104" s="140"/>
      <c r="F104" s="140"/>
      <c r="G104" s="140"/>
      <c r="H104" s="140"/>
      <c r="I104" s="140"/>
      <c r="J104" s="140"/>
      <c r="K104" s="140"/>
      <c r="L104" s="140"/>
      <c r="M104" s="140"/>
      <c r="N104" s="140"/>
      <c r="O104" s="140"/>
      <c r="P104" s="140"/>
    </row>
    <row r="105" spans="1:16" s="7" customFormat="1" ht="48" x14ac:dyDescent="0.25">
      <c r="A105" s="4">
        <v>32</v>
      </c>
      <c r="B105" s="5" t="s">
        <v>17</v>
      </c>
      <c r="C105" s="5" t="s">
        <v>930</v>
      </c>
      <c r="D105" s="5" t="s">
        <v>542</v>
      </c>
      <c r="E105" s="5" t="s">
        <v>61</v>
      </c>
      <c r="F105" s="5" t="s">
        <v>21</v>
      </c>
      <c r="G105" s="5" t="s">
        <v>22</v>
      </c>
      <c r="H105" s="5" t="s">
        <v>23</v>
      </c>
      <c r="I105" s="5" t="s">
        <v>751</v>
      </c>
      <c r="J105" s="5" t="s">
        <v>1508</v>
      </c>
      <c r="K105" s="5"/>
      <c r="L105" s="46" t="s">
        <v>671</v>
      </c>
      <c r="M105" s="5"/>
      <c r="N105" s="5"/>
      <c r="O105" s="5"/>
      <c r="P105" s="5"/>
    </row>
    <row r="106" spans="1:16" s="7" customFormat="1" x14ac:dyDescent="0.25">
      <c r="A106" s="139" t="s">
        <v>877</v>
      </c>
      <c r="B106" s="140"/>
      <c r="C106" s="140"/>
      <c r="D106" s="140"/>
      <c r="E106" s="140"/>
      <c r="F106" s="140"/>
      <c r="G106" s="140"/>
      <c r="H106" s="140"/>
      <c r="I106" s="140"/>
      <c r="J106" s="140"/>
      <c r="K106" s="140"/>
      <c r="L106" s="140"/>
      <c r="M106" s="140"/>
      <c r="N106" s="140"/>
      <c r="O106" s="140"/>
      <c r="P106" s="140"/>
    </row>
    <row r="107" spans="1:16" s="7" customFormat="1" ht="52.8" x14ac:dyDescent="0.25">
      <c r="A107" s="6"/>
      <c r="B107" s="5" t="s">
        <v>17</v>
      </c>
      <c r="C107" s="5" t="s">
        <v>931</v>
      </c>
      <c r="D107" s="9" t="s">
        <v>775</v>
      </c>
      <c r="E107" s="5" t="s">
        <v>55</v>
      </c>
      <c r="F107" s="5" t="s">
        <v>21</v>
      </c>
      <c r="G107" s="5" t="s">
        <v>22</v>
      </c>
      <c r="H107" s="5" t="s">
        <v>23</v>
      </c>
      <c r="I107" s="5" t="s">
        <v>792</v>
      </c>
      <c r="J107" s="5" t="s">
        <v>1553</v>
      </c>
      <c r="L107" s="46" t="s">
        <v>673</v>
      </c>
      <c r="M107" s="11" t="s">
        <v>733</v>
      </c>
    </row>
    <row r="108" spans="1:16" s="7" customFormat="1" ht="52.8" x14ac:dyDescent="0.25">
      <c r="A108" s="6"/>
      <c r="B108" s="5" t="s">
        <v>17</v>
      </c>
      <c r="C108" s="5" t="s">
        <v>932</v>
      </c>
      <c r="D108" s="9" t="s">
        <v>776</v>
      </c>
      <c r="E108" s="5" t="s">
        <v>55</v>
      </c>
      <c r="F108" s="5" t="s">
        <v>21</v>
      </c>
      <c r="G108" s="5" t="s">
        <v>22</v>
      </c>
      <c r="H108" s="5" t="s">
        <v>23</v>
      </c>
      <c r="I108" s="5" t="s">
        <v>793</v>
      </c>
      <c r="J108" s="5" t="s">
        <v>1627</v>
      </c>
      <c r="L108" s="46" t="s">
        <v>673</v>
      </c>
      <c r="M108" s="11" t="s">
        <v>637</v>
      </c>
    </row>
    <row r="109" spans="1:16" s="7" customFormat="1" ht="79.2" x14ac:dyDescent="0.25">
      <c r="A109" s="4">
        <v>33</v>
      </c>
      <c r="B109" s="5" t="s">
        <v>17</v>
      </c>
      <c r="C109" s="5" t="s">
        <v>933</v>
      </c>
      <c r="D109" s="10" t="s">
        <v>777</v>
      </c>
      <c r="E109" s="5" t="s">
        <v>55</v>
      </c>
      <c r="F109" s="5" t="s">
        <v>21</v>
      </c>
      <c r="G109" s="5" t="s">
        <v>22</v>
      </c>
      <c r="H109" s="5" t="s">
        <v>23</v>
      </c>
      <c r="I109" s="5" t="s">
        <v>794</v>
      </c>
      <c r="J109" s="5" t="s">
        <v>1648</v>
      </c>
      <c r="K109" s="5"/>
      <c r="L109" s="46" t="s">
        <v>671</v>
      </c>
      <c r="M109" s="5"/>
      <c r="N109" s="5"/>
      <c r="O109" s="5"/>
      <c r="P109" s="5"/>
    </row>
    <row r="110" spans="1:16" s="7" customFormat="1" ht="79.2" x14ac:dyDescent="0.25">
      <c r="A110" s="4">
        <v>34</v>
      </c>
      <c r="B110" s="5" t="s">
        <v>17</v>
      </c>
      <c r="C110" s="5" t="s">
        <v>934</v>
      </c>
      <c r="D110" s="10" t="s">
        <v>778</v>
      </c>
      <c r="E110" s="5" t="s">
        <v>55</v>
      </c>
      <c r="F110" s="5" t="s">
        <v>21</v>
      </c>
      <c r="G110" s="5" t="s">
        <v>22</v>
      </c>
      <c r="H110" s="5" t="s">
        <v>23</v>
      </c>
      <c r="I110" s="5" t="s">
        <v>795</v>
      </c>
      <c r="J110" s="5" t="s">
        <v>1648</v>
      </c>
      <c r="K110" s="5"/>
      <c r="L110" s="46" t="s">
        <v>671</v>
      </c>
      <c r="M110" s="5"/>
      <c r="N110" s="5"/>
      <c r="O110" s="5"/>
      <c r="P110" s="5"/>
    </row>
    <row r="111" spans="1:16" s="7" customFormat="1" x14ac:dyDescent="0.25">
      <c r="A111" s="139" t="s">
        <v>878</v>
      </c>
      <c r="B111" s="140"/>
      <c r="C111" s="140"/>
      <c r="D111" s="140"/>
      <c r="E111" s="140"/>
      <c r="F111" s="140"/>
      <c r="G111" s="140"/>
      <c r="H111" s="140"/>
      <c r="I111" s="140"/>
      <c r="J111" s="140"/>
      <c r="K111" s="140"/>
      <c r="L111" s="140"/>
      <c r="M111" s="140"/>
      <c r="N111" s="140"/>
      <c r="O111" s="140"/>
      <c r="P111" s="140"/>
    </row>
    <row r="112" spans="1:16" s="7" customFormat="1" ht="52.8" x14ac:dyDescent="0.25">
      <c r="A112" s="6"/>
      <c r="C112" s="5" t="s">
        <v>935</v>
      </c>
      <c r="D112" s="9" t="s">
        <v>775</v>
      </c>
      <c r="E112" s="5" t="s">
        <v>55</v>
      </c>
      <c r="F112" s="5" t="s">
        <v>21</v>
      </c>
      <c r="G112" s="5" t="s">
        <v>22</v>
      </c>
      <c r="H112" s="5" t="s">
        <v>23</v>
      </c>
      <c r="I112" s="5" t="s">
        <v>860</v>
      </c>
      <c r="J112" s="5" t="s">
        <v>1553</v>
      </c>
      <c r="L112" s="46" t="s">
        <v>673</v>
      </c>
      <c r="M112" s="11" t="s">
        <v>733</v>
      </c>
    </row>
    <row r="113" spans="1:16" s="7" customFormat="1" ht="52.8" x14ac:dyDescent="0.25">
      <c r="A113" s="6"/>
      <c r="C113" s="5" t="s">
        <v>936</v>
      </c>
      <c r="D113" s="9" t="s">
        <v>776</v>
      </c>
      <c r="E113" s="5" t="s">
        <v>55</v>
      </c>
      <c r="F113" s="5" t="s">
        <v>21</v>
      </c>
      <c r="G113" s="5" t="s">
        <v>22</v>
      </c>
      <c r="H113" s="5" t="s">
        <v>23</v>
      </c>
      <c r="I113" s="5" t="s">
        <v>862</v>
      </c>
      <c r="J113" s="5" t="s">
        <v>1627</v>
      </c>
      <c r="L113" s="46" t="s">
        <v>673</v>
      </c>
      <c r="M113" s="11" t="s">
        <v>637</v>
      </c>
    </row>
    <row r="114" spans="1:16" s="7" customFormat="1" ht="84" x14ac:dyDescent="0.25">
      <c r="A114" s="4">
        <v>35</v>
      </c>
      <c r="B114" s="5" t="s">
        <v>17</v>
      </c>
      <c r="C114" s="5" t="s">
        <v>937</v>
      </c>
      <c r="D114" s="5" t="s">
        <v>546</v>
      </c>
      <c r="E114" s="5" t="s">
        <v>55</v>
      </c>
      <c r="F114" s="5" t="s">
        <v>21</v>
      </c>
      <c r="G114" s="5" t="s">
        <v>22</v>
      </c>
      <c r="H114" s="5" t="s">
        <v>23</v>
      </c>
      <c r="I114" s="5" t="s">
        <v>863</v>
      </c>
      <c r="J114" s="5" t="s">
        <v>1648</v>
      </c>
      <c r="K114" s="5"/>
      <c r="L114" s="46" t="s">
        <v>671</v>
      </c>
      <c r="M114" s="5"/>
      <c r="N114" s="5"/>
      <c r="O114" s="5"/>
      <c r="P114" s="5"/>
    </row>
    <row r="115" spans="1:16" s="7" customFormat="1" ht="84" x14ac:dyDescent="0.25">
      <c r="A115" s="4">
        <v>36</v>
      </c>
      <c r="B115" s="5" t="s">
        <v>17</v>
      </c>
      <c r="C115" s="5" t="s">
        <v>938</v>
      </c>
      <c r="D115" s="5" t="s">
        <v>548</v>
      </c>
      <c r="E115" s="5" t="s">
        <v>55</v>
      </c>
      <c r="F115" s="5" t="s">
        <v>21</v>
      </c>
      <c r="G115" s="5" t="s">
        <v>22</v>
      </c>
      <c r="H115" s="5" t="s">
        <v>23</v>
      </c>
      <c r="I115" s="5" t="s">
        <v>966</v>
      </c>
      <c r="J115" s="5" t="s">
        <v>1648</v>
      </c>
      <c r="K115" s="5"/>
      <c r="L115" s="46" t="s">
        <v>671</v>
      </c>
      <c r="M115" s="5"/>
      <c r="N115" s="5"/>
      <c r="O115" s="5"/>
      <c r="P115" s="5"/>
    </row>
    <row r="116" spans="1:16" s="7" customFormat="1" x14ac:dyDescent="0.25">
      <c r="A116" s="139" t="s">
        <v>879</v>
      </c>
      <c r="B116" s="140"/>
      <c r="C116" s="140"/>
      <c r="D116" s="140"/>
      <c r="E116" s="140"/>
      <c r="F116" s="140"/>
      <c r="G116" s="140"/>
      <c r="H116" s="140"/>
      <c r="I116" s="140"/>
      <c r="J116" s="140"/>
      <c r="K116" s="140"/>
      <c r="L116" s="140"/>
      <c r="M116" s="140"/>
      <c r="N116" s="140"/>
      <c r="O116" s="140"/>
      <c r="P116" s="140"/>
    </row>
    <row r="117" spans="1:16" s="7" customFormat="1" ht="36" x14ac:dyDescent="0.25">
      <c r="A117" s="4">
        <v>37</v>
      </c>
      <c r="B117" s="5" t="s">
        <v>17</v>
      </c>
      <c r="C117" s="5" t="s">
        <v>939</v>
      </c>
      <c r="D117" s="5" t="s">
        <v>865</v>
      </c>
      <c r="E117" s="5" t="s">
        <v>20</v>
      </c>
      <c r="F117" s="5" t="s">
        <v>21</v>
      </c>
      <c r="G117" s="5" t="s">
        <v>22</v>
      </c>
      <c r="H117" s="5" t="s">
        <v>23</v>
      </c>
      <c r="I117" s="5" t="s">
        <v>739</v>
      </c>
      <c r="J117" s="5" t="s">
        <v>738</v>
      </c>
      <c r="K117" s="5"/>
      <c r="L117" s="46" t="s">
        <v>671</v>
      </c>
      <c r="M117" s="5"/>
      <c r="N117" s="5"/>
      <c r="O117" s="5"/>
      <c r="P117" s="5"/>
    </row>
    <row r="118" spans="1:16" s="7" customFormat="1" ht="36" x14ac:dyDescent="0.25">
      <c r="A118" s="4">
        <v>38</v>
      </c>
      <c r="B118" s="5" t="s">
        <v>17</v>
      </c>
      <c r="C118" s="5" t="s">
        <v>940</v>
      </c>
      <c r="D118" s="5" t="s">
        <v>552</v>
      </c>
      <c r="E118" s="5" t="s">
        <v>20</v>
      </c>
      <c r="F118" s="5" t="s">
        <v>21</v>
      </c>
      <c r="G118" s="5" t="s">
        <v>22</v>
      </c>
      <c r="H118" s="5" t="s">
        <v>23</v>
      </c>
      <c r="I118" s="5" t="s">
        <v>740</v>
      </c>
      <c r="J118" s="5" t="s">
        <v>741</v>
      </c>
      <c r="K118" s="5"/>
      <c r="L118" s="46" t="s">
        <v>671</v>
      </c>
      <c r="M118" s="5"/>
      <c r="N118" s="5"/>
      <c r="O118" s="5"/>
      <c r="P118" s="5"/>
    </row>
  </sheetData>
  <mergeCells count="41">
    <mergeCell ref="L2:L3"/>
    <mergeCell ref="A37:P37"/>
    <mergeCell ref="A27:P27"/>
    <mergeCell ref="A59:P59"/>
    <mergeCell ref="A21:P21"/>
    <mergeCell ref="C2:F2"/>
    <mergeCell ref="G2:G3"/>
    <mergeCell ref="I2:I3"/>
    <mergeCell ref="M2:M3"/>
    <mergeCell ref="B2:B3"/>
    <mergeCell ref="A32:P32"/>
    <mergeCell ref="A17:P17"/>
    <mergeCell ref="A4:P4"/>
    <mergeCell ref="A54:P54"/>
    <mergeCell ref="H2:H3"/>
    <mergeCell ref="A13:P13"/>
    <mergeCell ref="A9:P9"/>
    <mergeCell ref="A2:A3"/>
    <mergeCell ref="K2:K3"/>
    <mergeCell ref="A24:P24"/>
    <mergeCell ref="A49:P49"/>
    <mergeCell ref="A45:P45"/>
    <mergeCell ref="J2:J3"/>
    <mergeCell ref="A41:P41"/>
    <mergeCell ref="A47:P47"/>
    <mergeCell ref="A5:P5"/>
    <mergeCell ref="A62:P62"/>
    <mergeCell ref="A66:P66"/>
    <mergeCell ref="A70:P70"/>
    <mergeCell ref="A74:P74"/>
    <mergeCell ref="A78:P78"/>
    <mergeCell ref="A81:P81"/>
    <mergeCell ref="A84:P84"/>
    <mergeCell ref="A89:P89"/>
    <mergeCell ref="A94:P94"/>
    <mergeCell ref="A98:P98"/>
    <mergeCell ref="A102:P102"/>
    <mergeCell ref="A104:P104"/>
    <mergeCell ref="A106:P106"/>
    <mergeCell ref="A111:P111"/>
    <mergeCell ref="A116:P116"/>
  </mergeCells>
  <phoneticPr fontId="4" type="noConversion"/>
  <conditionalFormatting sqref="L6">
    <cfRule type="cellIs" dxfId="74" priority="44" operator="equal">
      <formula>"Fail"</formula>
    </cfRule>
  </conditionalFormatting>
  <conditionalFormatting sqref="L7:L8">
    <cfRule type="cellIs" dxfId="73" priority="43" operator="equal">
      <formula>"Fail"</formula>
    </cfRule>
  </conditionalFormatting>
  <conditionalFormatting sqref="L10:L12">
    <cfRule type="cellIs" dxfId="72" priority="42" operator="equal">
      <formula>"Fail"</formula>
    </cfRule>
  </conditionalFormatting>
  <conditionalFormatting sqref="L14:L16">
    <cfRule type="cellIs" dxfId="71" priority="41" operator="equal">
      <formula>"Fail"</formula>
    </cfRule>
  </conditionalFormatting>
  <conditionalFormatting sqref="L18">
    <cfRule type="cellIs" dxfId="70" priority="40" operator="equal">
      <formula>"Fail"</formula>
    </cfRule>
  </conditionalFormatting>
  <conditionalFormatting sqref="L19">
    <cfRule type="cellIs" dxfId="69" priority="39" operator="equal">
      <formula>"Fail"</formula>
    </cfRule>
  </conditionalFormatting>
  <conditionalFormatting sqref="L20">
    <cfRule type="cellIs" dxfId="68" priority="38" operator="equal">
      <formula>"Fail"</formula>
    </cfRule>
  </conditionalFormatting>
  <conditionalFormatting sqref="L22">
    <cfRule type="cellIs" dxfId="67" priority="37" operator="equal">
      <formula>"Fail"</formula>
    </cfRule>
  </conditionalFormatting>
  <conditionalFormatting sqref="L23">
    <cfRule type="cellIs" dxfId="66" priority="36" operator="equal">
      <formula>"Fail"</formula>
    </cfRule>
  </conditionalFormatting>
  <conditionalFormatting sqref="L25:L26">
    <cfRule type="cellIs" dxfId="65" priority="35" operator="equal">
      <formula>"Fail"</formula>
    </cfRule>
  </conditionalFormatting>
  <conditionalFormatting sqref="L28">
    <cfRule type="cellIs" dxfId="64" priority="34" operator="equal">
      <formula>"Fail"</formula>
    </cfRule>
  </conditionalFormatting>
  <conditionalFormatting sqref="L29:L31">
    <cfRule type="cellIs" dxfId="63" priority="33" operator="equal">
      <formula>"Fail"</formula>
    </cfRule>
  </conditionalFormatting>
  <conditionalFormatting sqref="L33:L36">
    <cfRule type="cellIs" dxfId="62" priority="32" operator="equal">
      <formula>"Fail"</formula>
    </cfRule>
  </conditionalFormatting>
  <conditionalFormatting sqref="L38:L40">
    <cfRule type="cellIs" dxfId="61" priority="31" operator="equal">
      <formula>"Fail"</formula>
    </cfRule>
  </conditionalFormatting>
  <conditionalFormatting sqref="L42:L44">
    <cfRule type="cellIs" dxfId="60" priority="30" operator="equal">
      <formula>"Fail"</formula>
    </cfRule>
  </conditionalFormatting>
  <conditionalFormatting sqref="L46">
    <cfRule type="cellIs" dxfId="59" priority="29" operator="equal">
      <formula>"Fail"</formula>
    </cfRule>
  </conditionalFormatting>
  <conditionalFormatting sqref="L48">
    <cfRule type="cellIs" dxfId="58" priority="28" operator="equal">
      <formula>"Fail"</formula>
    </cfRule>
  </conditionalFormatting>
  <conditionalFormatting sqref="L50">
    <cfRule type="cellIs" dxfId="57" priority="27" operator="equal">
      <formula>"Fail"</formula>
    </cfRule>
  </conditionalFormatting>
  <conditionalFormatting sqref="L51">
    <cfRule type="cellIs" dxfId="56" priority="26" operator="equal">
      <formula>"Fail"</formula>
    </cfRule>
  </conditionalFormatting>
  <conditionalFormatting sqref="L52:L53">
    <cfRule type="cellIs" dxfId="55" priority="25" operator="equal">
      <formula>"Fail"</formula>
    </cfRule>
  </conditionalFormatting>
  <conditionalFormatting sqref="L55:L58">
    <cfRule type="cellIs" dxfId="54" priority="24" operator="equal">
      <formula>"Fail"</formula>
    </cfRule>
  </conditionalFormatting>
  <conditionalFormatting sqref="L60:L61">
    <cfRule type="cellIs" dxfId="53" priority="23" operator="equal">
      <formula>"Fail"</formula>
    </cfRule>
  </conditionalFormatting>
  <conditionalFormatting sqref="L63">
    <cfRule type="cellIs" dxfId="52" priority="22" operator="equal">
      <formula>"Fail"</formula>
    </cfRule>
  </conditionalFormatting>
  <conditionalFormatting sqref="L64:L65">
    <cfRule type="cellIs" dxfId="51" priority="21" operator="equal">
      <formula>"Fail"</formula>
    </cfRule>
  </conditionalFormatting>
  <conditionalFormatting sqref="L67:L69">
    <cfRule type="cellIs" dxfId="50" priority="20" operator="equal">
      <formula>"Fail"</formula>
    </cfRule>
  </conditionalFormatting>
  <conditionalFormatting sqref="L71:L73">
    <cfRule type="cellIs" dxfId="49" priority="19" operator="equal">
      <formula>"Fail"</formula>
    </cfRule>
  </conditionalFormatting>
  <conditionalFormatting sqref="L75">
    <cfRule type="cellIs" dxfId="48" priority="18" operator="equal">
      <formula>"Fail"</formula>
    </cfRule>
  </conditionalFormatting>
  <conditionalFormatting sqref="L76">
    <cfRule type="cellIs" dxfId="47" priority="17" operator="equal">
      <formula>"Fail"</formula>
    </cfRule>
  </conditionalFormatting>
  <conditionalFormatting sqref="L77">
    <cfRule type="cellIs" dxfId="46" priority="16" operator="equal">
      <formula>"Fail"</formula>
    </cfRule>
  </conditionalFormatting>
  <conditionalFormatting sqref="L79">
    <cfRule type="cellIs" dxfId="45" priority="15" operator="equal">
      <formula>"Fail"</formula>
    </cfRule>
  </conditionalFormatting>
  <conditionalFormatting sqref="L80">
    <cfRule type="cellIs" dxfId="44" priority="14" operator="equal">
      <formula>"Fail"</formula>
    </cfRule>
  </conditionalFormatting>
  <conditionalFormatting sqref="L82:L83">
    <cfRule type="cellIs" dxfId="43" priority="13" operator="equal">
      <formula>"Fail"</formula>
    </cfRule>
  </conditionalFormatting>
  <conditionalFormatting sqref="L85">
    <cfRule type="cellIs" dxfId="42" priority="12" operator="equal">
      <formula>"Fail"</formula>
    </cfRule>
  </conditionalFormatting>
  <conditionalFormatting sqref="L86:L88">
    <cfRule type="cellIs" dxfId="41" priority="11" operator="equal">
      <formula>"Fail"</formula>
    </cfRule>
  </conditionalFormatting>
  <conditionalFormatting sqref="L90:L93">
    <cfRule type="cellIs" dxfId="40" priority="10" operator="equal">
      <formula>"Fail"</formula>
    </cfRule>
  </conditionalFormatting>
  <conditionalFormatting sqref="L95:L97">
    <cfRule type="cellIs" dxfId="39" priority="9" operator="equal">
      <formula>"Fail"</formula>
    </cfRule>
  </conditionalFormatting>
  <conditionalFormatting sqref="L99:L101">
    <cfRule type="cellIs" dxfId="38" priority="8" operator="equal">
      <formula>"Fail"</formula>
    </cfRule>
  </conditionalFormatting>
  <conditionalFormatting sqref="L103">
    <cfRule type="cellIs" dxfId="37" priority="7" operator="equal">
      <formula>"Fail"</formula>
    </cfRule>
  </conditionalFormatting>
  <conditionalFormatting sqref="L105">
    <cfRule type="cellIs" dxfId="36" priority="6" operator="equal">
      <formula>"Fail"</formula>
    </cfRule>
  </conditionalFormatting>
  <conditionalFormatting sqref="L107">
    <cfRule type="cellIs" dxfId="35" priority="5" operator="equal">
      <formula>"Fail"</formula>
    </cfRule>
  </conditionalFormatting>
  <conditionalFormatting sqref="L108">
    <cfRule type="cellIs" dxfId="34" priority="4" operator="equal">
      <formula>"Fail"</formula>
    </cfRule>
  </conditionalFormatting>
  <conditionalFormatting sqref="L109:L110">
    <cfRule type="cellIs" dxfId="33" priority="3" operator="equal">
      <formula>"Fail"</formula>
    </cfRule>
  </conditionalFormatting>
  <conditionalFormatting sqref="L112:L115">
    <cfRule type="cellIs" dxfId="32" priority="2" operator="equal">
      <formula>"Fail"</formula>
    </cfRule>
  </conditionalFormatting>
  <conditionalFormatting sqref="L117:L118">
    <cfRule type="cellIs" dxfId="31" priority="1" operator="equal">
      <formula>"Fail"</formula>
    </cfRule>
  </conditionalFormatting>
  <dataValidations count="1">
    <dataValidation type="list" allowBlank="1" showInputMessage="1" showErrorMessage="1" sqref="L6:L8 L10:L12 L14:L16 L18:L20 L22:L23 L25:L26 L28:L31 L33:L36 L38:L40 L42:L44 L46 L48 L50:L53 L55:L58 L60:L61 L63:L65 L67:L69 L71:L73 L75:L77 L79:L80 L82:L83 L85:L88 L90:L93 L95:L97 L99:L101 L103 L105 L107:L110 L112:L115 L117:L118">
      <formula1>"Pass,Fail,Not Apply,Block,Skip"</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opLeftCell="B43" workbookViewId="0">
      <selection activeCell="I49" sqref="I49"/>
    </sheetView>
  </sheetViews>
  <sheetFormatPr defaultRowHeight="14.4" x14ac:dyDescent="0.25"/>
  <cols>
    <col min="1" max="1" width="12" customWidth="1"/>
    <col min="2" max="3" width="18" customWidth="1"/>
    <col min="4" max="4" width="25.88671875" customWidth="1"/>
    <col min="5" max="5" width="8" customWidth="1"/>
    <col min="6" max="6" width="10" customWidth="1"/>
    <col min="7" max="7" width="16" customWidth="1"/>
    <col min="8" max="8" width="14" customWidth="1"/>
    <col min="9" max="10" width="50" customWidth="1"/>
    <col min="11" max="11" width="13.33203125" customWidth="1"/>
    <col min="12" max="12" width="10" customWidth="1"/>
    <col min="13" max="13" width="12" customWidth="1"/>
    <col min="14" max="16" width="10" customWidth="1"/>
  </cols>
  <sheetData>
    <row r="1" spans="1:16" x14ac:dyDescent="0.25">
      <c r="B1" s="1" t="s">
        <v>0</v>
      </c>
      <c r="C1" s="1" t="s">
        <v>1</v>
      </c>
    </row>
    <row r="2" spans="1:16" x14ac:dyDescent="0.25">
      <c r="A2" s="144" t="s">
        <v>2</v>
      </c>
      <c r="B2" s="142" t="s">
        <v>3</v>
      </c>
      <c r="C2" s="144" t="s">
        <v>4</v>
      </c>
      <c r="D2" s="140"/>
      <c r="E2" s="140"/>
      <c r="F2" s="143"/>
      <c r="G2" s="142" t="s">
        <v>5</v>
      </c>
      <c r="H2" s="142" t="s">
        <v>6</v>
      </c>
      <c r="I2" s="142" t="s">
        <v>7</v>
      </c>
      <c r="J2" s="142" t="s">
        <v>8</v>
      </c>
      <c r="K2" s="142" t="s">
        <v>9</v>
      </c>
      <c r="L2" s="142" t="s">
        <v>10</v>
      </c>
      <c r="M2" s="142" t="s">
        <v>11</v>
      </c>
    </row>
    <row r="3" spans="1:16" x14ac:dyDescent="0.25">
      <c r="A3" s="143"/>
      <c r="B3" s="143"/>
      <c r="C3" s="2" t="s">
        <v>12</v>
      </c>
      <c r="D3" s="2" t="s">
        <v>13</v>
      </c>
      <c r="E3" s="2" t="s">
        <v>14</v>
      </c>
      <c r="F3" s="2" t="s">
        <v>15</v>
      </c>
      <c r="G3" s="143"/>
      <c r="H3" s="143"/>
      <c r="I3" s="143"/>
      <c r="J3" s="143"/>
      <c r="K3" s="143"/>
      <c r="L3" s="143"/>
      <c r="M3" s="143"/>
    </row>
    <row r="4" spans="1:16" x14ac:dyDescent="0.25">
      <c r="A4" s="139" t="s">
        <v>563</v>
      </c>
      <c r="B4" s="140"/>
      <c r="C4" s="140"/>
      <c r="D4" s="140"/>
      <c r="E4" s="140"/>
      <c r="F4" s="140"/>
      <c r="G4" s="140"/>
      <c r="H4" s="140"/>
      <c r="I4" s="140"/>
      <c r="J4" s="140"/>
      <c r="K4" s="140"/>
      <c r="L4" s="140"/>
      <c r="M4" s="140"/>
      <c r="N4" s="140"/>
      <c r="O4" s="140"/>
      <c r="P4" s="140"/>
    </row>
    <row r="5" spans="1:16" x14ac:dyDescent="0.25">
      <c r="A5" s="139" t="s">
        <v>16</v>
      </c>
      <c r="B5" s="140"/>
      <c r="C5" s="140"/>
      <c r="D5" s="140"/>
      <c r="E5" s="140"/>
      <c r="F5" s="140"/>
      <c r="G5" s="140"/>
      <c r="H5" s="140"/>
      <c r="I5" s="140"/>
      <c r="J5" s="140"/>
      <c r="K5" s="140"/>
      <c r="L5" s="140"/>
      <c r="M5" s="140"/>
      <c r="N5" s="140"/>
      <c r="O5" s="140"/>
      <c r="P5" s="140"/>
    </row>
    <row r="6" spans="1:16" ht="48" x14ac:dyDescent="0.25">
      <c r="A6" s="4">
        <v>1</v>
      </c>
      <c r="B6" s="5" t="s">
        <v>17</v>
      </c>
      <c r="C6" s="5" t="s">
        <v>564</v>
      </c>
      <c r="D6" s="5" t="s">
        <v>565</v>
      </c>
      <c r="E6" s="5" t="s">
        <v>20</v>
      </c>
      <c r="F6" s="5" t="s">
        <v>21</v>
      </c>
      <c r="G6" s="5" t="s">
        <v>22</v>
      </c>
      <c r="H6" s="5" t="s">
        <v>23</v>
      </c>
      <c r="I6" s="5" t="s">
        <v>796</v>
      </c>
      <c r="J6" s="5" t="s">
        <v>1661</v>
      </c>
      <c r="K6" s="5"/>
      <c r="L6" s="46" t="s">
        <v>671</v>
      </c>
      <c r="M6" s="5"/>
      <c r="N6" s="5"/>
      <c r="O6" s="5"/>
      <c r="P6" s="5"/>
    </row>
    <row r="7" spans="1:16" ht="48" x14ac:dyDescent="0.25">
      <c r="A7" s="4">
        <v>2</v>
      </c>
      <c r="B7" s="5" t="s">
        <v>17</v>
      </c>
      <c r="C7" s="5" t="s">
        <v>566</v>
      </c>
      <c r="D7" s="5" t="s">
        <v>567</v>
      </c>
      <c r="E7" s="5" t="s">
        <v>20</v>
      </c>
      <c r="F7" s="5" t="s">
        <v>21</v>
      </c>
      <c r="G7" s="5" t="s">
        <v>22</v>
      </c>
      <c r="H7" s="5" t="s">
        <v>23</v>
      </c>
      <c r="I7" s="5" t="s">
        <v>797</v>
      </c>
      <c r="J7" s="5" t="s">
        <v>1661</v>
      </c>
      <c r="K7" s="5"/>
      <c r="L7" s="46" t="s">
        <v>671</v>
      </c>
      <c r="M7" s="5"/>
      <c r="N7" s="5"/>
      <c r="O7" s="5"/>
      <c r="P7" s="5"/>
    </row>
    <row r="8" spans="1:16" ht="36" x14ac:dyDescent="0.25">
      <c r="A8" s="4">
        <v>3</v>
      </c>
      <c r="B8" s="5" t="s">
        <v>17</v>
      </c>
      <c r="C8" s="5" t="s">
        <v>568</v>
      </c>
      <c r="D8" s="5" t="s">
        <v>569</v>
      </c>
      <c r="E8" s="5" t="s">
        <v>20</v>
      </c>
      <c r="F8" s="5" t="s">
        <v>21</v>
      </c>
      <c r="G8" s="5" t="s">
        <v>22</v>
      </c>
      <c r="H8" s="5" t="s">
        <v>23</v>
      </c>
      <c r="I8" s="5" t="s">
        <v>798</v>
      </c>
      <c r="J8" s="5" t="s">
        <v>1649</v>
      </c>
      <c r="K8" s="5"/>
      <c r="L8" s="46" t="s">
        <v>671</v>
      </c>
      <c r="M8" s="5"/>
      <c r="N8" s="5"/>
      <c r="O8" s="5"/>
      <c r="P8" s="5"/>
    </row>
    <row r="9" spans="1:16" ht="36" x14ac:dyDescent="0.25">
      <c r="A9" s="4">
        <v>4</v>
      </c>
      <c r="B9" s="5" t="s">
        <v>17</v>
      </c>
      <c r="C9" s="5" t="s">
        <v>570</v>
      </c>
      <c r="D9" s="5" t="s">
        <v>571</v>
      </c>
      <c r="E9" s="5" t="s">
        <v>20</v>
      </c>
      <c r="F9" s="5" t="s">
        <v>21</v>
      </c>
      <c r="G9" s="5" t="s">
        <v>22</v>
      </c>
      <c r="H9" s="5" t="s">
        <v>23</v>
      </c>
      <c r="I9" s="5" t="s">
        <v>799</v>
      </c>
      <c r="J9" s="5" t="s">
        <v>1650</v>
      </c>
      <c r="K9" s="5"/>
      <c r="L9" s="46" t="s">
        <v>671</v>
      </c>
      <c r="M9" s="5"/>
      <c r="N9" s="5"/>
      <c r="O9" s="5"/>
      <c r="P9" s="5"/>
    </row>
    <row r="10" spans="1:16" ht="36" x14ac:dyDescent="0.25">
      <c r="A10" s="4">
        <v>5</v>
      </c>
      <c r="B10" s="5" t="s">
        <v>17</v>
      </c>
      <c r="C10" s="5" t="s">
        <v>572</v>
      </c>
      <c r="D10" s="5" t="s">
        <v>573</v>
      </c>
      <c r="E10" s="5" t="s">
        <v>20</v>
      </c>
      <c r="F10" s="5" t="s">
        <v>21</v>
      </c>
      <c r="G10" s="5" t="s">
        <v>22</v>
      </c>
      <c r="H10" s="5" t="s">
        <v>23</v>
      </c>
      <c r="I10" s="5" t="s">
        <v>800</v>
      </c>
      <c r="J10" s="5" t="s">
        <v>1649</v>
      </c>
      <c r="K10" s="5"/>
      <c r="L10" s="46" t="s">
        <v>671</v>
      </c>
      <c r="M10" s="5"/>
      <c r="N10" s="5"/>
      <c r="O10" s="5"/>
      <c r="P10" s="5"/>
    </row>
    <row r="11" spans="1:16" ht="36" x14ac:dyDescent="0.25">
      <c r="A11" s="4">
        <v>6</v>
      </c>
      <c r="B11" s="5" t="s">
        <v>17</v>
      </c>
      <c r="C11" s="5" t="s">
        <v>574</v>
      </c>
      <c r="D11" s="5" t="s">
        <v>575</v>
      </c>
      <c r="E11" s="5" t="s">
        <v>20</v>
      </c>
      <c r="F11" s="5" t="s">
        <v>21</v>
      </c>
      <c r="G11" s="5" t="s">
        <v>22</v>
      </c>
      <c r="H11" s="5" t="s">
        <v>23</v>
      </c>
      <c r="I11" s="5" t="s">
        <v>801</v>
      </c>
      <c r="J11" s="5" t="s">
        <v>1650</v>
      </c>
      <c r="K11" s="5"/>
      <c r="L11" s="46" t="s">
        <v>671</v>
      </c>
      <c r="M11" s="5"/>
      <c r="N11" s="5"/>
      <c r="O11" s="5"/>
      <c r="P11" s="5"/>
    </row>
    <row r="12" spans="1:16" x14ac:dyDescent="0.25">
      <c r="A12" s="139" t="s">
        <v>43</v>
      </c>
      <c r="B12" s="140"/>
      <c r="C12" s="140"/>
      <c r="D12" s="140"/>
      <c r="E12" s="140"/>
      <c r="F12" s="140"/>
      <c r="G12" s="140"/>
      <c r="H12" s="140"/>
      <c r="I12" s="140"/>
      <c r="J12" s="140"/>
      <c r="K12" s="140"/>
      <c r="L12" s="140"/>
      <c r="M12" s="140"/>
      <c r="N12" s="140"/>
      <c r="O12" s="140"/>
      <c r="P12" s="140"/>
    </row>
    <row r="13" spans="1:16" ht="48" x14ac:dyDescent="0.25">
      <c r="A13" s="4">
        <v>7</v>
      </c>
      <c r="B13" s="5" t="s">
        <v>17</v>
      </c>
      <c r="C13" s="5" t="s">
        <v>576</v>
      </c>
      <c r="D13" s="5" t="s">
        <v>577</v>
      </c>
      <c r="E13" s="5" t="s">
        <v>20</v>
      </c>
      <c r="F13" s="5" t="s">
        <v>21</v>
      </c>
      <c r="G13" s="5" t="s">
        <v>22</v>
      </c>
      <c r="H13" s="5" t="s">
        <v>23</v>
      </c>
      <c r="I13" s="5" t="s">
        <v>802</v>
      </c>
      <c r="J13" s="5" t="s">
        <v>1661</v>
      </c>
      <c r="K13" s="5"/>
      <c r="L13" s="46" t="s">
        <v>671</v>
      </c>
      <c r="M13" s="5"/>
      <c r="N13" s="5"/>
      <c r="O13" s="5"/>
      <c r="P13" s="5"/>
    </row>
    <row r="14" spans="1:16" ht="48" x14ac:dyDescent="0.25">
      <c r="A14" s="4">
        <v>8</v>
      </c>
      <c r="B14" s="5" t="s">
        <v>17</v>
      </c>
      <c r="C14" s="5" t="s">
        <v>578</v>
      </c>
      <c r="D14" s="5" t="s">
        <v>579</v>
      </c>
      <c r="E14" s="5" t="s">
        <v>20</v>
      </c>
      <c r="F14" s="5" t="s">
        <v>21</v>
      </c>
      <c r="G14" s="5" t="s">
        <v>22</v>
      </c>
      <c r="H14" s="5" t="s">
        <v>23</v>
      </c>
      <c r="I14" s="5" t="s">
        <v>803</v>
      </c>
      <c r="J14" s="5" t="s">
        <v>1661</v>
      </c>
      <c r="K14" s="5"/>
      <c r="L14" s="46" t="s">
        <v>671</v>
      </c>
      <c r="M14" s="5"/>
      <c r="N14" s="5"/>
      <c r="O14" s="5"/>
      <c r="P14" s="5"/>
    </row>
    <row r="15" spans="1:16" ht="36" x14ac:dyDescent="0.25">
      <c r="A15" s="4">
        <v>9</v>
      </c>
      <c r="B15" s="5" t="s">
        <v>17</v>
      </c>
      <c r="C15" s="5" t="s">
        <v>580</v>
      </c>
      <c r="D15" s="5" t="s">
        <v>581</v>
      </c>
      <c r="E15" s="5" t="s">
        <v>20</v>
      </c>
      <c r="F15" s="5" t="s">
        <v>21</v>
      </c>
      <c r="G15" s="5" t="s">
        <v>22</v>
      </c>
      <c r="H15" s="5" t="s">
        <v>23</v>
      </c>
      <c r="I15" s="5" t="s">
        <v>804</v>
      </c>
      <c r="J15" s="5" t="s">
        <v>1531</v>
      </c>
      <c r="K15" s="5"/>
      <c r="L15" s="46" t="s">
        <v>671</v>
      </c>
      <c r="M15" s="5"/>
      <c r="N15" s="5"/>
      <c r="O15" s="5"/>
      <c r="P15" s="5"/>
    </row>
    <row r="16" spans="1:16" ht="36" x14ac:dyDescent="0.25">
      <c r="A16" s="4">
        <v>10</v>
      </c>
      <c r="B16" s="5" t="s">
        <v>17</v>
      </c>
      <c r="C16" s="5" t="s">
        <v>582</v>
      </c>
      <c r="D16" s="5" t="s">
        <v>583</v>
      </c>
      <c r="E16" s="5" t="s">
        <v>20</v>
      </c>
      <c r="F16" s="5" t="s">
        <v>21</v>
      </c>
      <c r="G16" s="5" t="s">
        <v>22</v>
      </c>
      <c r="H16" s="5" t="s">
        <v>23</v>
      </c>
      <c r="I16" s="5" t="s">
        <v>805</v>
      </c>
      <c r="J16" s="5" t="s">
        <v>1531</v>
      </c>
      <c r="K16" s="5"/>
      <c r="L16" s="46" t="s">
        <v>671</v>
      </c>
      <c r="M16" s="5"/>
      <c r="N16" s="5"/>
      <c r="O16" s="5"/>
      <c r="P16" s="5"/>
    </row>
    <row r="17" spans="1:16" x14ac:dyDescent="0.25">
      <c r="A17" s="139" t="s">
        <v>49</v>
      </c>
      <c r="B17" s="140"/>
      <c r="C17" s="140"/>
      <c r="D17" s="140"/>
      <c r="E17" s="140"/>
      <c r="F17" s="140"/>
      <c r="G17" s="140"/>
      <c r="H17" s="140"/>
      <c r="I17" s="140"/>
      <c r="J17" s="140"/>
      <c r="K17" s="140"/>
      <c r="L17" s="140"/>
      <c r="M17" s="140"/>
      <c r="N17" s="140"/>
      <c r="O17" s="140"/>
      <c r="P17" s="140"/>
    </row>
    <row r="18" spans="1:16" ht="70.2" customHeight="1" x14ac:dyDescent="0.25">
      <c r="A18" s="4">
        <v>11</v>
      </c>
      <c r="B18" s="5" t="s">
        <v>17</v>
      </c>
      <c r="C18" s="5" t="s">
        <v>584</v>
      </c>
      <c r="D18" s="5" t="s">
        <v>585</v>
      </c>
      <c r="E18" s="5" t="s">
        <v>20</v>
      </c>
      <c r="F18" s="5" t="s">
        <v>21</v>
      </c>
      <c r="G18" s="5" t="s">
        <v>22</v>
      </c>
      <c r="H18" s="5" t="s">
        <v>23</v>
      </c>
      <c r="I18" s="5" t="s">
        <v>836</v>
      </c>
      <c r="J18" s="5" t="s">
        <v>1651</v>
      </c>
      <c r="K18" s="5"/>
      <c r="L18" s="46" t="s">
        <v>671</v>
      </c>
      <c r="M18" s="5"/>
      <c r="N18" s="5"/>
      <c r="O18" s="5"/>
      <c r="P18" s="5"/>
    </row>
    <row r="19" spans="1:16" ht="70.8" customHeight="1" x14ac:dyDescent="0.25">
      <c r="A19" s="4">
        <v>12</v>
      </c>
      <c r="B19" s="5" t="s">
        <v>17</v>
      </c>
      <c r="C19" s="5" t="s">
        <v>586</v>
      </c>
      <c r="D19" s="5" t="s">
        <v>587</v>
      </c>
      <c r="E19" s="5" t="s">
        <v>20</v>
      </c>
      <c r="F19" s="5" t="s">
        <v>21</v>
      </c>
      <c r="G19" s="5" t="s">
        <v>22</v>
      </c>
      <c r="H19" s="5" t="s">
        <v>23</v>
      </c>
      <c r="I19" s="5" t="s">
        <v>837</v>
      </c>
      <c r="J19" s="5" t="s">
        <v>1652</v>
      </c>
      <c r="K19" s="5"/>
      <c r="L19" s="46" t="s">
        <v>671</v>
      </c>
      <c r="M19" s="5"/>
      <c r="N19" s="5"/>
      <c r="O19" s="5"/>
      <c r="P19" s="5"/>
    </row>
    <row r="20" spans="1:16" ht="68.400000000000006" customHeight="1" x14ac:dyDescent="0.25">
      <c r="A20" s="4">
        <v>13</v>
      </c>
      <c r="B20" s="5" t="s">
        <v>17</v>
      </c>
      <c r="C20" s="5" t="s">
        <v>588</v>
      </c>
      <c r="D20" s="5" t="s">
        <v>589</v>
      </c>
      <c r="E20" s="5" t="s">
        <v>20</v>
      </c>
      <c r="F20" s="5" t="s">
        <v>21</v>
      </c>
      <c r="G20" s="5" t="s">
        <v>22</v>
      </c>
      <c r="H20" s="5" t="s">
        <v>23</v>
      </c>
      <c r="I20" s="5" t="s">
        <v>838</v>
      </c>
      <c r="J20" s="5" t="s">
        <v>1532</v>
      </c>
      <c r="K20" s="5"/>
      <c r="L20" s="46" t="s">
        <v>671</v>
      </c>
      <c r="M20" s="5"/>
      <c r="N20" s="5"/>
      <c r="O20" s="5"/>
      <c r="P20" s="5"/>
    </row>
    <row r="21" spans="1:16" ht="72.599999999999994" customHeight="1" x14ac:dyDescent="0.25">
      <c r="A21" s="4">
        <v>14</v>
      </c>
      <c r="B21" s="5" t="s">
        <v>17</v>
      </c>
      <c r="C21" s="5" t="s">
        <v>590</v>
      </c>
      <c r="D21" s="5" t="s">
        <v>591</v>
      </c>
      <c r="E21" s="5" t="s">
        <v>20</v>
      </c>
      <c r="F21" s="5" t="s">
        <v>21</v>
      </c>
      <c r="G21" s="5" t="s">
        <v>22</v>
      </c>
      <c r="H21" s="5" t="s">
        <v>23</v>
      </c>
      <c r="I21" s="5" t="s">
        <v>839</v>
      </c>
      <c r="J21" s="5" t="s">
        <v>1532</v>
      </c>
      <c r="K21" s="5"/>
      <c r="L21" s="46" t="s">
        <v>671</v>
      </c>
      <c r="M21" s="5"/>
      <c r="N21" s="5"/>
      <c r="O21" s="5"/>
      <c r="P21" s="5"/>
    </row>
    <row r="22" spans="1:16" x14ac:dyDescent="0.25">
      <c r="A22" s="139" t="s">
        <v>592</v>
      </c>
      <c r="B22" s="140"/>
      <c r="C22" s="140"/>
      <c r="D22" s="140"/>
      <c r="E22" s="140"/>
      <c r="F22" s="140"/>
      <c r="G22" s="140"/>
      <c r="H22" s="140"/>
      <c r="I22" s="140"/>
      <c r="J22" s="140"/>
      <c r="K22" s="140"/>
      <c r="L22" s="140"/>
      <c r="M22" s="140"/>
      <c r="N22" s="140"/>
      <c r="O22" s="140"/>
      <c r="P22" s="140"/>
    </row>
    <row r="23" spans="1:16" ht="84" x14ac:dyDescent="0.25">
      <c r="A23" s="4">
        <v>15</v>
      </c>
      <c r="B23" s="5" t="s">
        <v>17</v>
      </c>
      <c r="C23" s="5" t="s">
        <v>731</v>
      </c>
      <c r="D23" s="5" t="s">
        <v>593</v>
      </c>
      <c r="E23" s="5" t="s">
        <v>61</v>
      </c>
      <c r="F23" s="5" t="s">
        <v>21</v>
      </c>
      <c r="G23" s="5" t="s">
        <v>22</v>
      </c>
      <c r="H23" s="5" t="s">
        <v>23</v>
      </c>
      <c r="I23" s="5" t="s">
        <v>806</v>
      </c>
      <c r="J23" s="5" t="s">
        <v>1653</v>
      </c>
      <c r="K23" s="5" t="s">
        <v>730</v>
      </c>
      <c r="L23" s="46" t="s">
        <v>672</v>
      </c>
      <c r="M23" s="5"/>
      <c r="N23" s="5"/>
      <c r="O23" s="5"/>
      <c r="P23" s="5"/>
    </row>
    <row r="24" spans="1:16" x14ac:dyDescent="0.25">
      <c r="A24" s="139" t="s">
        <v>224</v>
      </c>
      <c r="B24" s="140"/>
      <c r="C24" s="140"/>
      <c r="D24" s="140"/>
      <c r="E24" s="140"/>
      <c r="F24" s="140"/>
      <c r="G24" s="140"/>
      <c r="H24" s="140"/>
      <c r="I24" s="140"/>
      <c r="J24" s="140"/>
      <c r="K24" s="140"/>
      <c r="L24" s="140"/>
      <c r="M24" s="140"/>
      <c r="N24" s="140"/>
      <c r="O24" s="140"/>
      <c r="P24" s="140"/>
    </row>
    <row r="25" spans="1:16" ht="39.6" x14ac:dyDescent="0.25">
      <c r="A25" s="3"/>
      <c r="B25" s="5" t="s">
        <v>17</v>
      </c>
      <c r="C25" s="5" t="s">
        <v>732</v>
      </c>
      <c r="D25" s="9" t="s">
        <v>633</v>
      </c>
      <c r="E25" s="5" t="s">
        <v>55</v>
      </c>
      <c r="F25" s="5" t="s">
        <v>21</v>
      </c>
      <c r="G25" s="5" t="s">
        <v>22</v>
      </c>
      <c r="H25" s="5" t="s">
        <v>23</v>
      </c>
      <c r="I25" s="5" t="s">
        <v>807</v>
      </c>
      <c r="J25" s="5" t="s">
        <v>1553</v>
      </c>
      <c r="K25" s="11" t="s">
        <v>733</v>
      </c>
      <c r="L25" s="46" t="s">
        <v>673</v>
      </c>
    </row>
    <row r="26" spans="1:16" ht="39.6" x14ac:dyDescent="0.25">
      <c r="A26" s="3"/>
      <c r="B26" s="5" t="s">
        <v>17</v>
      </c>
      <c r="C26" s="5" t="s">
        <v>678</v>
      </c>
      <c r="D26" s="9" t="s">
        <v>634</v>
      </c>
      <c r="E26" s="5" t="s">
        <v>55</v>
      </c>
      <c r="F26" s="5" t="s">
        <v>21</v>
      </c>
      <c r="G26" s="5" t="s">
        <v>22</v>
      </c>
      <c r="H26" s="5" t="s">
        <v>23</v>
      </c>
      <c r="I26" s="5" t="s">
        <v>808</v>
      </c>
      <c r="J26" s="5" t="s">
        <v>1649</v>
      </c>
      <c r="K26" s="11" t="s">
        <v>637</v>
      </c>
      <c r="L26" s="46" t="s">
        <v>673</v>
      </c>
    </row>
    <row r="27" spans="1:16" ht="42.6" customHeight="1" x14ac:dyDescent="0.25">
      <c r="A27" s="4">
        <v>16</v>
      </c>
      <c r="B27" s="5" t="s">
        <v>17</v>
      </c>
      <c r="C27" s="5" t="s">
        <v>594</v>
      </c>
      <c r="D27" s="10" t="s">
        <v>635</v>
      </c>
      <c r="E27" s="5" t="s">
        <v>55</v>
      </c>
      <c r="F27" s="5" t="s">
        <v>21</v>
      </c>
      <c r="G27" s="5" t="s">
        <v>22</v>
      </c>
      <c r="H27" s="5" t="s">
        <v>23</v>
      </c>
      <c r="I27" s="5" t="s">
        <v>809</v>
      </c>
      <c r="J27" s="5" t="s">
        <v>1654</v>
      </c>
      <c r="K27" s="5"/>
      <c r="L27" s="46" t="s">
        <v>672</v>
      </c>
      <c r="M27" s="5"/>
      <c r="N27" s="5"/>
      <c r="O27" s="5"/>
      <c r="P27" s="5"/>
    </row>
    <row r="28" spans="1:16" ht="43.8" customHeight="1" x14ac:dyDescent="0.25">
      <c r="A28" s="4">
        <v>17</v>
      </c>
      <c r="B28" s="5" t="s">
        <v>17</v>
      </c>
      <c r="C28" s="5" t="s">
        <v>595</v>
      </c>
      <c r="D28" s="10" t="s">
        <v>636</v>
      </c>
      <c r="E28" s="5" t="s">
        <v>55</v>
      </c>
      <c r="F28" s="5" t="s">
        <v>21</v>
      </c>
      <c r="G28" s="5" t="s">
        <v>22</v>
      </c>
      <c r="H28" s="5" t="s">
        <v>23</v>
      </c>
      <c r="I28" s="5" t="s">
        <v>810</v>
      </c>
      <c r="J28" s="5" t="s">
        <v>1654</v>
      </c>
      <c r="K28" s="5"/>
      <c r="L28" s="46" t="s">
        <v>672</v>
      </c>
      <c r="M28" s="5"/>
      <c r="N28" s="5"/>
      <c r="O28" s="5"/>
      <c r="P28" s="5"/>
    </row>
    <row r="29" spans="1:16" x14ac:dyDescent="0.25">
      <c r="A29" s="139" t="s">
        <v>227</v>
      </c>
      <c r="B29" s="140"/>
      <c r="C29" s="140"/>
      <c r="D29" s="140"/>
      <c r="E29" s="140"/>
      <c r="F29" s="140"/>
      <c r="G29" s="140"/>
      <c r="H29" s="140"/>
      <c r="I29" s="140"/>
      <c r="J29" s="140"/>
      <c r="K29" s="140"/>
      <c r="L29" s="140"/>
      <c r="M29" s="140"/>
      <c r="N29" s="140"/>
      <c r="O29" s="140"/>
      <c r="P29" s="140"/>
    </row>
    <row r="30" spans="1:16" ht="72" x14ac:dyDescent="0.25">
      <c r="A30" s="4">
        <v>18</v>
      </c>
      <c r="B30" s="5" t="s">
        <v>17</v>
      </c>
      <c r="C30" s="5" t="s">
        <v>679</v>
      </c>
      <c r="D30" s="5" t="s">
        <v>638</v>
      </c>
      <c r="E30" s="5" t="s">
        <v>55</v>
      </c>
      <c r="F30" s="5" t="s">
        <v>21</v>
      </c>
      <c r="G30" s="5" t="s">
        <v>22</v>
      </c>
      <c r="H30" s="5" t="s">
        <v>23</v>
      </c>
      <c r="I30" s="5" t="s">
        <v>811</v>
      </c>
      <c r="J30" s="5" t="s">
        <v>1654</v>
      </c>
      <c r="K30" s="5" t="s">
        <v>640</v>
      </c>
      <c r="L30" s="46" t="s">
        <v>672</v>
      </c>
      <c r="M30" s="5"/>
      <c r="N30" s="5"/>
      <c r="O30" s="5"/>
      <c r="P30" s="5"/>
    </row>
    <row r="31" spans="1:16" ht="67.8" customHeight="1" x14ac:dyDescent="0.25">
      <c r="A31" s="4">
        <v>19</v>
      </c>
      <c r="B31" s="5" t="s">
        <v>17</v>
      </c>
      <c r="C31" s="5" t="s">
        <v>680</v>
      </c>
      <c r="D31" s="5" t="s">
        <v>643</v>
      </c>
      <c r="E31" s="5" t="s">
        <v>55</v>
      </c>
      <c r="F31" s="5" t="s">
        <v>21</v>
      </c>
      <c r="G31" s="5" t="s">
        <v>22</v>
      </c>
      <c r="H31" s="5" t="s">
        <v>641</v>
      </c>
      <c r="I31" s="5" t="s">
        <v>642</v>
      </c>
      <c r="J31" s="5" t="s">
        <v>1655</v>
      </c>
      <c r="K31" s="5"/>
      <c r="L31" s="46" t="s">
        <v>671</v>
      </c>
      <c r="M31" s="5"/>
      <c r="N31" s="5"/>
      <c r="O31" s="5"/>
      <c r="P31" s="5"/>
    </row>
    <row r="32" spans="1:16" ht="48" x14ac:dyDescent="0.25">
      <c r="A32" s="4">
        <v>19</v>
      </c>
      <c r="B32" s="5" t="s">
        <v>17</v>
      </c>
      <c r="C32" s="5" t="s">
        <v>602</v>
      </c>
      <c r="D32" s="5" t="s">
        <v>644</v>
      </c>
      <c r="E32" s="5" t="s">
        <v>55</v>
      </c>
      <c r="F32" s="5" t="s">
        <v>21</v>
      </c>
      <c r="G32" s="5" t="s">
        <v>22</v>
      </c>
      <c r="H32" s="5" t="s">
        <v>23</v>
      </c>
      <c r="I32" s="5" t="s">
        <v>780</v>
      </c>
      <c r="J32" s="5" t="s">
        <v>1654</v>
      </c>
      <c r="K32" s="5" t="s">
        <v>639</v>
      </c>
      <c r="L32" s="46" t="s">
        <v>673</v>
      </c>
      <c r="M32" s="5"/>
      <c r="N32" s="5"/>
      <c r="O32" s="5"/>
      <c r="P32" s="5"/>
    </row>
    <row r="33" spans="1:16" x14ac:dyDescent="0.25">
      <c r="A33" s="139" t="s">
        <v>596</v>
      </c>
      <c r="B33" s="140"/>
      <c r="C33" s="140"/>
      <c r="D33" s="140"/>
      <c r="E33" s="140"/>
      <c r="F33" s="140"/>
      <c r="G33" s="140"/>
      <c r="H33" s="140"/>
      <c r="I33" s="140"/>
      <c r="J33" s="140"/>
      <c r="K33" s="140"/>
      <c r="L33" s="140"/>
      <c r="M33" s="140"/>
      <c r="N33" s="140"/>
      <c r="O33" s="140"/>
      <c r="P33" s="140"/>
    </row>
    <row r="34" spans="1:16" ht="48" x14ac:dyDescent="0.25">
      <c r="A34" s="4">
        <v>20</v>
      </c>
      <c r="B34" s="5" t="s">
        <v>17</v>
      </c>
      <c r="C34" s="5" t="s">
        <v>681</v>
      </c>
      <c r="D34" s="5" t="s">
        <v>565</v>
      </c>
      <c r="E34" s="5" t="s">
        <v>20</v>
      </c>
      <c r="F34" s="5" t="s">
        <v>21</v>
      </c>
      <c r="G34" s="5" t="s">
        <v>22</v>
      </c>
      <c r="H34" s="5" t="s">
        <v>23</v>
      </c>
      <c r="I34" s="5" t="s">
        <v>812</v>
      </c>
      <c r="J34" s="5" t="s">
        <v>1509</v>
      </c>
      <c r="K34" s="5"/>
      <c r="L34" s="46" t="s">
        <v>671</v>
      </c>
      <c r="M34" s="5"/>
      <c r="N34" s="5"/>
      <c r="O34" s="5"/>
      <c r="P34" s="5"/>
    </row>
    <row r="35" spans="1:16" ht="48" x14ac:dyDescent="0.25">
      <c r="A35" s="4">
        <v>21</v>
      </c>
      <c r="B35" s="5" t="s">
        <v>17</v>
      </c>
      <c r="C35" s="5" t="s">
        <v>623</v>
      </c>
      <c r="D35" s="5" t="s">
        <v>567</v>
      </c>
      <c r="E35" s="5" t="s">
        <v>20</v>
      </c>
      <c r="F35" s="5" t="s">
        <v>21</v>
      </c>
      <c r="G35" s="5" t="s">
        <v>22</v>
      </c>
      <c r="H35" s="5" t="s">
        <v>23</v>
      </c>
      <c r="I35" s="5" t="s">
        <v>813</v>
      </c>
      <c r="J35" s="5" t="s">
        <v>1509</v>
      </c>
      <c r="K35" s="5"/>
      <c r="L35" s="46" t="s">
        <v>671</v>
      </c>
      <c r="M35" s="5"/>
      <c r="N35" s="5"/>
      <c r="O35" s="5"/>
      <c r="P35" s="5"/>
    </row>
    <row r="36" spans="1:16" ht="36" x14ac:dyDescent="0.25">
      <c r="A36" s="4">
        <v>22</v>
      </c>
      <c r="B36" s="5" t="s">
        <v>17</v>
      </c>
      <c r="C36" s="5" t="s">
        <v>734</v>
      </c>
      <c r="D36" s="5" t="s">
        <v>569</v>
      </c>
      <c r="E36" s="5" t="s">
        <v>20</v>
      </c>
      <c r="F36" s="5" t="s">
        <v>21</v>
      </c>
      <c r="G36" s="5" t="s">
        <v>22</v>
      </c>
      <c r="H36" s="5" t="s">
        <v>23</v>
      </c>
      <c r="I36" s="5" t="s">
        <v>814</v>
      </c>
      <c r="J36" s="5" t="s">
        <v>1531</v>
      </c>
      <c r="K36" s="5"/>
      <c r="L36" s="46" t="s">
        <v>671</v>
      </c>
      <c r="M36" s="5"/>
      <c r="N36" s="5"/>
      <c r="O36" s="5"/>
      <c r="P36" s="5"/>
    </row>
    <row r="37" spans="1:16" ht="36" x14ac:dyDescent="0.25">
      <c r="A37" s="4">
        <v>23</v>
      </c>
      <c r="B37" s="5" t="s">
        <v>17</v>
      </c>
      <c r="C37" s="5" t="s">
        <v>624</v>
      </c>
      <c r="D37" s="5" t="s">
        <v>571</v>
      </c>
      <c r="E37" s="5" t="s">
        <v>20</v>
      </c>
      <c r="F37" s="5" t="s">
        <v>21</v>
      </c>
      <c r="G37" s="5" t="s">
        <v>22</v>
      </c>
      <c r="H37" s="5" t="s">
        <v>23</v>
      </c>
      <c r="I37" s="5" t="s">
        <v>815</v>
      </c>
      <c r="J37" s="5" t="s">
        <v>1531</v>
      </c>
      <c r="K37" s="5"/>
      <c r="L37" s="46" t="s">
        <v>671</v>
      </c>
      <c r="M37" s="5"/>
      <c r="N37" s="5"/>
      <c r="O37" s="5"/>
      <c r="P37" s="5"/>
    </row>
    <row r="38" spans="1:16" ht="36" x14ac:dyDescent="0.25">
      <c r="A38" s="4">
        <v>24</v>
      </c>
      <c r="B38" s="5" t="s">
        <v>17</v>
      </c>
      <c r="C38" s="5" t="s">
        <v>625</v>
      </c>
      <c r="D38" s="5" t="s">
        <v>573</v>
      </c>
      <c r="E38" s="5" t="s">
        <v>20</v>
      </c>
      <c r="F38" s="5" t="s">
        <v>21</v>
      </c>
      <c r="G38" s="5" t="s">
        <v>22</v>
      </c>
      <c r="H38" s="5" t="s">
        <v>23</v>
      </c>
      <c r="I38" s="5" t="s">
        <v>816</v>
      </c>
      <c r="J38" s="5" t="s">
        <v>1531</v>
      </c>
      <c r="K38" s="5"/>
      <c r="L38" s="46" t="s">
        <v>671</v>
      </c>
      <c r="M38" s="5"/>
      <c r="N38" s="5"/>
      <c r="O38" s="5"/>
      <c r="P38" s="5"/>
    </row>
    <row r="39" spans="1:16" ht="36" x14ac:dyDescent="0.25">
      <c r="A39" s="4">
        <v>25</v>
      </c>
      <c r="B39" s="5" t="s">
        <v>17</v>
      </c>
      <c r="C39" s="5" t="s">
        <v>627</v>
      </c>
      <c r="D39" s="5" t="s">
        <v>575</v>
      </c>
      <c r="E39" s="5" t="s">
        <v>20</v>
      </c>
      <c r="F39" s="5" t="s">
        <v>21</v>
      </c>
      <c r="G39" s="5" t="s">
        <v>22</v>
      </c>
      <c r="H39" s="5" t="s">
        <v>23</v>
      </c>
      <c r="I39" s="5" t="s">
        <v>817</v>
      </c>
      <c r="J39" s="5" t="s">
        <v>1531</v>
      </c>
      <c r="K39" s="5"/>
      <c r="L39" s="46" t="s">
        <v>671</v>
      </c>
      <c r="M39" s="5"/>
      <c r="N39" s="5"/>
      <c r="O39" s="5"/>
      <c r="P39" s="5"/>
    </row>
    <row r="40" spans="1:16" x14ac:dyDescent="0.25">
      <c r="A40" s="139" t="s">
        <v>597</v>
      </c>
      <c r="B40" s="140"/>
      <c r="C40" s="140"/>
      <c r="D40" s="140"/>
      <c r="E40" s="140"/>
      <c r="F40" s="140"/>
      <c r="G40" s="140"/>
      <c r="H40" s="140"/>
      <c r="I40" s="140"/>
      <c r="J40" s="140"/>
      <c r="K40" s="140"/>
      <c r="L40" s="140"/>
      <c r="M40" s="140"/>
      <c r="N40" s="140"/>
      <c r="O40" s="140"/>
      <c r="P40" s="140"/>
    </row>
    <row r="41" spans="1:16" ht="48" x14ac:dyDescent="0.25">
      <c r="A41" s="4">
        <v>26</v>
      </c>
      <c r="B41" s="5" t="s">
        <v>17</v>
      </c>
      <c r="C41" s="5" t="s">
        <v>682</v>
      </c>
      <c r="D41" s="5" t="s">
        <v>577</v>
      </c>
      <c r="E41" s="5" t="s">
        <v>20</v>
      </c>
      <c r="F41" s="5" t="s">
        <v>21</v>
      </c>
      <c r="G41" s="5" t="s">
        <v>22</v>
      </c>
      <c r="H41" s="5" t="s">
        <v>23</v>
      </c>
      <c r="I41" s="5" t="s">
        <v>818</v>
      </c>
      <c r="J41" s="5" t="s">
        <v>1509</v>
      </c>
      <c r="K41" s="5"/>
      <c r="L41" s="46" t="s">
        <v>671</v>
      </c>
      <c r="M41" s="5"/>
      <c r="N41" s="5"/>
      <c r="O41" s="5"/>
      <c r="P41" s="5"/>
    </row>
    <row r="42" spans="1:16" ht="48" x14ac:dyDescent="0.25">
      <c r="A42" s="4">
        <v>27</v>
      </c>
      <c r="B42" s="5" t="s">
        <v>17</v>
      </c>
      <c r="C42" s="5" t="s">
        <v>629</v>
      </c>
      <c r="D42" s="5" t="s">
        <v>579</v>
      </c>
      <c r="E42" s="5" t="s">
        <v>20</v>
      </c>
      <c r="F42" s="5" t="s">
        <v>21</v>
      </c>
      <c r="G42" s="5" t="s">
        <v>22</v>
      </c>
      <c r="H42" s="5" t="s">
        <v>23</v>
      </c>
      <c r="I42" s="5" t="s">
        <v>819</v>
      </c>
      <c r="J42" s="5" t="s">
        <v>1509</v>
      </c>
      <c r="K42" s="5"/>
      <c r="L42" s="46" t="s">
        <v>671</v>
      </c>
      <c r="M42" s="5"/>
      <c r="N42" s="5"/>
      <c r="O42" s="5"/>
      <c r="P42" s="5"/>
    </row>
    <row r="43" spans="1:16" ht="36" x14ac:dyDescent="0.25">
      <c r="A43" s="4">
        <v>28</v>
      </c>
      <c r="B43" s="5" t="s">
        <v>17</v>
      </c>
      <c r="C43" s="5" t="s">
        <v>631</v>
      </c>
      <c r="D43" s="5" t="s">
        <v>581</v>
      </c>
      <c r="E43" s="5" t="s">
        <v>20</v>
      </c>
      <c r="F43" s="5" t="s">
        <v>21</v>
      </c>
      <c r="G43" s="5" t="s">
        <v>22</v>
      </c>
      <c r="H43" s="5" t="s">
        <v>23</v>
      </c>
      <c r="I43" s="5" t="s">
        <v>820</v>
      </c>
      <c r="J43" s="5" t="s">
        <v>1531</v>
      </c>
      <c r="K43" s="5"/>
      <c r="L43" s="46" t="s">
        <v>671</v>
      </c>
      <c r="M43" s="5"/>
      <c r="N43" s="5"/>
      <c r="O43" s="5"/>
      <c r="P43" s="5"/>
    </row>
    <row r="44" spans="1:16" ht="36" x14ac:dyDescent="0.25">
      <c r="A44" s="4">
        <v>29</v>
      </c>
      <c r="B44" s="5" t="s">
        <v>17</v>
      </c>
      <c r="C44" s="5" t="s">
        <v>632</v>
      </c>
      <c r="D44" s="5" t="s">
        <v>583</v>
      </c>
      <c r="E44" s="5" t="s">
        <v>20</v>
      </c>
      <c r="F44" s="5" t="s">
        <v>21</v>
      </c>
      <c r="G44" s="5" t="s">
        <v>22</v>
      </c>
      <c r="H44" s="5" t="s">
        <v>23</v>
      </c>
      <c r="I44" s="5" t="s">
        <v>821</v>
      </c>
      <c r="J44" s="5" t="s">
        <v>1531</v>
      </c>
      <c r="K44" s="5"/>
      <c r="L44" s="46" t="s">
        <v>671</v>
      </c>
      <c r="M44" s="5"/>
      <c r="N44" s="5"/>
      <c r="O44" s="5"/>
      <c r="P44" s="5"/>
    </row>
    <row r="45" spans="1:16" x14ac:dyDescent="0.25">
      <c r="A45" s="139" t="s">
        <v>598</v>
      </c>
      <c r="B45" s="140"/>
      <c r="C45" s="140"/>
      <c r="D45" s="140"/>
      <c r="E45" s="140"/>
      <c r="F45" s="140"/>
      <c r="G45" s="140"/>
      <c r="H45" s="140"/>
      <c r="I45" s="140"/>
      <c r="J45" s="140"/>
      <c r="K45" s="140"/>
      <c r="L45" s="140"/>
      <c r="M45" s="140"/>
      <c r="N45" s="140"/>
      <c r="O45" s="140"/>
      <c r="P45" s="140"/>
    </row>
    <row r="46" spans="1:16" ht="60" x14ac:dyDescent="0.25">
      <c r="A46" s="4">
        <v>30</v>
      </c>
      <c r="B46" s="5" t="s">
        <v>17</v>
      </c>
      <c r="C46" s="5" t="s">
        <v>683</v>
      </c>
      <c r="D46" s="5" t="s">
        <v>585</v>
      </c>
      <c r="E46" s="5" t="s">
        <v>20</v>
      </c>
      <c r="F46" s="5" t="s">
        <v>21</v>
      </c>
      <c r="G46" s="5" t="s">
        <v>22</v>
      </c>
      <c r="H46" s="5" t="s">
        <v>23</v>
      </c>
      <c r="I46" s="5" t="s">
        <v>840</v>
      </c>
      <c r="J46" s="5" t="s">
        <v>1532</v>
      </c>
      <c r="K46" s="5"/>
      <c r="L46" s="46" t="s">
        <v>671</v>
      </c>
      <c r="M46" s="5"/>
      <c r="N46" s="5"/>
      <c r="O46" s="5"/>
      <c r="P46" s="5"/>
    </row>
    <row r="47" spans="1:16" ht="60" x14ac:dyDescent="0.25">
      <c r="A47" s="4">
        <v>31</v>
      </c>
      <c r="B47" s="5" t="s">
        <v>17</v>
      </c>
      <c r="C47" s="5" t="s">
        <v>684</v>
      </c>
      <c r="D47" s="5" t="s">
        <v>587</v>
      </c>
      <c r="E47" s="5" t="s">
        <v>20</v>
      </c>
      <c r="F47" s="5" t="s">
        <v>21</v>
      </c>
      <c r="G47" s="5" t="s">
        <v>22</v>
      </c>
      <c r="H47" s="5" t="s">
        <v>23</v>
      </c>
      <c r="I47" s="5" t="s">
        <v>841</v>
      </c>
      <c r="J47" s="5" t="s">
        <v>1532</v>
      </c>
      <c r="K47" s="5"/>
      <c r="L47" s="46" t="s">
        <v>671</v>
      </c>
      <c r="M47" s="5"/>
      <c r="N47" s="5"/>
      <c r="O47" s="5"/>
      <c r="P47" s="5"/>
    </row>
    <row r="48" spans="1:16" x14ac:dyDescent="0.25">
      <c r="A48" s="139" t="s">
        <v>599</v>
      </c>
      <c r="B48" s="140"/>
      <c r="C48" s="140"/>
      <c r="D48" s="140"/>
      <c r="E48" s="140"/>
      <c r="F48" s="140"/>
      <c r="G48" s="140"/>
      <c r="H48" s="140"/>
      <c r="I48" s="140"/>
      <c r="J48" s="140"/>
      <c r="K48" s="140"/>
      <c r="L48" s="140"/>
      <c r="M48" s="140"/>
      <c r="N48" s="140"/>
      <c r="O48" s="140"/>
      <c r="P48" s="140"/>
    </row>
    <row r="49" spans="1:16" ht="180" x14ac:dyDescent="0.25">
      <c r="A49" s="4">
        <v>32</v>
      </c>
      <c r="B49" s="5" t="s">
        <v>17</v>
      </c>
      <c r="C49" s="5" t="s">
        <v>735</v>
      </c>
      <c r="D49" s="5" t="s">
        <v>593</v>
      </c>
      <c r="E49" s="5" t="s">
        <v>61</v>
      </c>
      <c r="F49" s="5" t="s">
        <v>21</v>
      </c>
      <c r="G49" s="5" t="s">
        <v>22</v>
      </c>
      <c r="H49" s="5" t="s">
        <v>23</v>
      </c>
      <c r="I49" s="5" t="s">
        <v>822</v>
      </c>
      <c r="J49" s="5" t="s">
        <v>1508</v>
      </c>
      <c r="K49" s="5"/>
      <c r="L49" s="46" t="s">
        <v>672</v>
      </c>
      <c r="M49" s="5" t="s">
        <v>823</v>
      </c>
      <c r="N49" s="5"/>
      <c r="O49" s="5"/>
      <c r="P49" s="5"/>
    </row>
    <row r="50" spans="1:16" x14ac:dyDescent="0.25">
      <c r="A50" s="139" t="s">
        <v>600</v>
      </c>
      <c r="B50" s="140"/>
      <c r="C50" s="140"/>
      <c r="D50" s="140"/>
      <c r="E50" s="140"/>
      <c r="F50" s="140"/>
      <c r="G50" s="140"/>
      <c r="H50" s="140"/>
      <c r="I50" s="140"/>
      <c r="J50" s="140"/>
      <c r="K50" s="140"/>
      <c r="L50" s="140"/>
      <c r="M50" s="140"/>
      <c r="N50" s="140"/>
      <c r="O50" s="140"/>
      <c r="P50" s="140"/>
    </row>
    <row r="51" spans="1:16" ht="39.6" x14ac:dyDescent="0.25">
      <c r="A51" s="3"/>
      <c r="B51" s="5" t="s">
        <v>17</v>
      </c>
      <c r="C51" s="5" t="s">
        <v>685</v>
      </c>
      <c r="D51" s="9" t="s">
        <v>633</v>
      </c>
      <c r="E51" s="5" t="s">
        <v>55</v>
      </c>
      <c r="F51" s="5" t="s">
        <v>21</v>
      </c>
      <c r="G51" s="5" t="s">
        <v>22</v>
      </c>
      <c r="H51" s="5" t="s">
        <v>23</v>
      </c>
      <c r="I51" s="5" t="s">
        <v>824</v>
      </c>
      <c r="J51" s="5" t="s">
        <v>1553</v>
      </c>
      <c r="K51" s="11" t="s">
        <v>637</v>
      </c>
      <c r="L51" s="46" t="s">
        <v>673</v>
      </c>
    </row>
    <row r="52" spans="1:16" ht="39.6" x14ac:dyDescent="0.25">
      <c r="A52" s="3"/>
      <c r="B52" s="5" t="s">
        <v>17</v>
      </c>
      <c r="C52" s="5" t="s">
        <v>686</v>
      </c>
      <c r="D52" s="9" t="s">
        <v>634</v>
      </c>
      <c r="E52" s="5" t="s">
        <v>55</v>
      </c>
      <c r="F52" s="5" t="s">
        <v>21</v>
      </c>
      <c r="G52" s="5" t="s">
        <v>22</v>
      </c>
      <c r="H52" s="5" t="s">
        <v>23</v>
      </c>
      <c r="I52" s="5" t="s">
        <v>825</v>
      </c>
      <c r="J52" s="5" t="s">
        <v>1649</v>
      </c>
      <c r="K52" s="11" t="s">
        <v>637</v>
      </c>
      <c r="L52" s="46" t="s">
        <v>673</v>
      </c>
    </row>
    <row r="53" spans="1:16" ht="42.6" customHeight="1" x14ac:dyDescent="0.25">
      <c r="A53" s="4">
        <v>16</v>
      </c>
      <c r="B53" s="5" t="s">
        <v>17</v>
      </c>
      <c r="C53" s="5" t="s">
        <v>687</v>
      </c>
      <c r="D53" s="10" t="s">
        <v>635</v>
      </c>
      <c r="E53" s="5" t="s">
        <v>55</v>
      </c>
      <c r="F53" s="5" t="s">
        <v>21</v>
      </c>
      <c r="G53" s="5" t="s">
        <v>22</v>
      </c>
      <c r="H53" s="5" t="s">
        <v>23</v>
      </c>
      <c r="I53" s="5" t="s">
        <v>826</v>
      </c>
      <c r="J53" s="5" t="s">
        <v>1531</v>
      </c>
      <c r="K53" s="5"/>
      <c r="L53" s="46" t="s">
        <v>672</v>
      </c>
      <c r="M53" s="5"/>
      <c r="N53" s="5"/>
      <c r="O53" s="5"/>
      <c r="P53" s="5"/>
    </row>
    <row r="54" spans="1:16" ht="43.8" customHeight="1" x14ac:dyDescent="0.25">
      <c r="A54" s="4">
        <v>17</v>
      </c>
      <c r="B54" s="5" t="s">
        <v>17</v>
      </c>
      <c r="C54" s="5" t="s">
        <v>688</v>
      </c>
      <c r="D54" s="10" t="s">
        <v>636</v>
      </c>
      <c r="E54" s="5" t="s">
        <v>55</v>
      </c>
      <c r="F54" s="5" t="s">
        <v>21</v>
      </c>
      <c r="G54" s="5" t="s">
        <v>22</v>
      </c>
      <c r="H54" s="5" t="s">
        <v>23</v>
      </c>
      <c r="I54" s="5" t="s">
        <v>827</v>
      </c>
      <c r="J54" s="5" t="s">
        <v>1531</v>
      </c>
      <c r="K54" s="5"/>
      <c r="L54" s="46" t="s">
        <v>672</v>
      </c>
      <c r="M54" s="5"/>
      <c r="N54" s="5"/>
      <c r="O54" s="5"/>
      <c r="P54" s="5"/>
    </row>
    <row r="55" spans="1:16" x14ac:dyDescent="0.25">
      <c r="A55" s="139" t="s">
        <v>601</v>
      </c>
      <c r="B55" s="140"/>
      <c r="C55" s="140"/>
      <c r="D55" s="140"/>
      <c r="E55" s="140"/>
      <c r="F55" s="140"/>
      <c r="G55" s="140"/>
      <c r="H55" s="140"/>
      <c r="I55" s="140"/>
      <c r="J55" s="140"/>
      <c r="K55" s="140"/>
      <c r="L55" s="140"/>
      <c r="M55" s="140"/>
      <c r="N55" s="140"/>
      <c r="O55" s="140"/>
      <c r="P55" s="140"/>
    </row>
    <row r="56" spans="1:16" ht="48" x14ac:dyDescent="0.25">
      <c r="A56" s="4">
        <v>35</v>
      </c>
      <c r="B56" s="5" t="s">
        <v>17</v>
      </c>
      <c r="C56" s="5" t="s">
        <v>689</v>
      </c>
      <c r="D56" s="5" t="s">
        <v>565</v>
      </c>
      <c r="E56" s="5" t="s">
        <v>20</v>
      </c>
      <c r="F56" s="5" t="s">
        <v>21</v>
      </c>
      <c r="G56" s="5" t="s">
        <v>22</v>
      </c>
      <c r="H56" s="5" t="s">
        <v>23</v>
      </c>
      <c r="I56" s="5" t="s">
        <v>796</v>
      </c>
      <c r="J56" s="5" t="s">
        <v>1661</v>
      </c>
      <c r="K56" s="5"/>
      <c r="L56" s="46" t="s">
        <v>671</v>
      </c>
      <c r="M56" s="5"/>
      <c r="N56" s="5"/>
      <c r="O56" s="5"/>
      <c r="P56" s="5"/>
    </row>
    <row r="57" spans="1:16" ht="48" x14ac:dyDescent="0.25">
      <c r="A57" s="4">
        <v>36</v>
      </c>
      <c r="B57" s="5" t="s">
        <v>17</v>
      </c>
      <c r="C57" s="5" t="s">
        <v>690</v>
      </c>
      <c r="D57" s="5" t="s">
        <v>567</v>
      </c>
      <c r="E57" s="5" t="s">
        <v>20</v>
      </c>
      <c r="F57" s="5" t="s">
        <v>21</v>
      </c>
      <c r="G57" s="5" t="s">
        <v>22</v>
      </c>
      <c r="H57" s="5" t="s">
        <v>23</v>
      </c>
      <c r="I57" s="5" t="s">
        <v>797</v>
      </c>
      <c r="J57" s="5" t="s">
        <v>1661</v>
      </c>
      <c r="K57" s="5"/>
      <c r="L57" s="46" t="s">
        <v>671</v>
      </c>
      <c r="M57" s="5"/>
      <c r="N57" s="5"/>
      <c r="O57" s="5"/>
      <c r="P57" s="5"/>
    </row>
    <row r="58" spans="1:16" ht="144" x14ac:dyDescent="0.25">
      <c r="A58" s="4">
        <v>37</v>
      </c>
      <c r="B58" s="5" t="s">
        <v>17</v>
      </c>
      <c r="C58" s="5" t="s">
        <v>691</v>
      </c>
      <c r="D58" s="5" t="s">
        <v>603</v>
      </c>
      <c r="E58" s="5" t="s">
        <v>20</v>
      </c>
      <c r="F58" s="5" t="s">
        <v>21</v>
      </c>
      <c r="G58" s="5" t="s">
        <v>22</v>
      </c>
      <c r="H58" s="5" t="s">
        <v>23</v>
      </c>
      <c r="I58" s="5" t="s">
        <v>842</v>
      </c>
      <c r="J58" s="5" t="s">
        <v>1665</v>
      </c>
      <c r="K58" s="5"/>
      <c r="L58" s="46" t="s">
        <v>672</v>
      </c>
      <c r="M58" s="5" t="s">
        <v>828</v>
      </c>
      <c r="N58" s="5"/>
      <c r="O58" s="5"/>
      <c r="P58" s="5"/>
    </row>
    <row r="59" spans="1:16" ht="144" x14ac:dyDescent="0.25">
      <c r="A59" s="4">
        <v>38</v>
      </c>
      <c r="B59" s="5" t="s">
        <v>17</v>
      </c>
      <c r="C59" s="5" t="s">
        <v>692</v>
      </c>
      <c r="D59" s="5" t="s">
        <v>604</v>
      </c>
      <c r="E59" s="5" t="s">
        <v>20</v>
      </c>
      <c r="F59" s="5" t="s">
        <v>21</v>
      </c>
      <c r="G59" s="5" t="s">
        <v>22</v>
      </c>
      <c r="H59" s="5" t="s">
        <v>23</v>
      </c>
      <c r="I59" s="5" t="s">
        <v>843</v>
      </c>
      <c r="J59" s="5" t="s">
        <v>1666</v>
      </c>
      <c r="K59" s="5"/>
      <c r="L59" s="46" t="s">
        <v>672</v>
      </c>
      <c r="M59" s="5" t="s">
        <v>828</v>
      </c>
      <c r="N59" s="5"/>
      <c r="O59" s="5"/>
      <c r="P59" s="5"/>
    </row>
    <row r="60" spans="1:16" ht="144" x14ac:dyDescent="0.25">
      <c r="A60" s="4">
        <v>39</v>
      </c>
      <c r="B60" s="5" t="s">
        <v>17</v>
      </c>
      <c r="C60" s="5" t="s">
        <v>693</v>
      </c>
      <c r="D60" s="5" t="s">
        <v>605</v>
      </c>
      <c r="E60" s="5" t="s">
        <v>20</v>
      </c>
      <c r="F60" s="5" t="s">
        <v>21</v>
      </c>
      <c r="G60" s="5" t="s">
        <v>22</v>
      </c>
      <c r="H60" s="5" t="s">
        <v>23</v>
      </c>
      <c r="I60" s="5" t="s">
        <v>844</v>
      </c>
      <c r="J60" s="5" t="s">
        <v>1665</v>
      </c>
      <c r="K60" s="5"/>
      <c r="L60" s="46" t="s">
        <v>672</v>
      </c>
      <c r="M60" s="5" t="s">
        <v>828</v>
      </c>
      <c r="N60" s="5"/>
      <c r="O60" s="5"/>
      <c r="P60" s="5"/>
    </row>
    <row r="61" spans="1:16" ht="144" x14ac:dyDescent="0.25">
      <c r="A61" s="4">
        <v>40</v>
      </c>
      <c r="B61" s="5" t="s">
        <v>17</v>
      </c>
      <c r="C61" s="5" t="s">
        <v>694</v>
      </c>
      <c r="D61" s="5" t="s">
        <v>606</v>
      </c>
      <c r="E61" s="5" t="s">
        <v>20</v>
      </c>
      <c r="F61" s="5" t="s">
        <v>21</v>
      </c>
      <c r="G61" s="5" t="s">
        <v>22</v>
      </c>
      <c r="H61" s="5" t="s">
        <v>23</v>
      </c>
      <c r="I61" s="5" t="s">
        <v>845</v>
      </c>
      <c r="J61" s="5" t="s">
        <v>1666</v>
      </c>
      <c r="K61" s="5"/>
      <c r="L61" s="46" t="s">
        <v>672</v>
      </c>
      <c r="M61" s="5" t="s">
        <v>828</v>
      </c>
      <c r="N61" s="5"/>
      <c r="O61" s="5"/>
      <c r="P61" s="5"/>
    </row>
    <row r="62" spans="1:16" x14ac:dyDescent="0.25">
      <c r="A62" s="139" t="s">
        <v>607</v>
      </c>
      <c r="B62" s="140"/>
      <c r="C62" s="140"/>
      <c r="D62" s="140"/>
      <c r="E62" s="140"/>
      <c r="F62" s="140"/>
      <c r="G62" s="140"/>
      <c r="H62" s="140"/>
      <c r="I62" s="140"/>
      <c r="J62" s="140"/>
      <c r="K62" s="140"/>
      <c r="L62" s="140"/>
      <c r="M62" s="140"/>
      <c r="N62" s="140"/>
      <c r="O62" s="140"/>
      <c r="P62" s="140"/>
    </row>
    <row r="63" spans="1:16" ht="48" x14ac:dyDescent="0.25">
      <c r="A63" s="4">
        <v>41</v>
      </c>
      <c r="B63" s="5" t="s">
        <v>17</v>
      </c>
      <c r="C63" s="5" t="s">
        <v>695</v>
      </c>
      <c r="D63" s="5" t="s">
        <v>577</v>
      </c>
      <c r="E63" s="5" t="s">
        <v>20</v>
      </c>
      <c r="F63" s="5" t="s">
        <v>21</v>
      </c>
      <c r="G63" s="5" t="s">
        <v>22</v>
      </c>
      <c r="H63" s="5" t="s">
        <v>23</v>
      </c>
      <c r="I63" s="5" t="s">
        <v>802</v>
      </c>
      <c r="J63" s="5" t="s">
        <v>1661</v>
      </c>
      <c r="K63" s="5"/>
      <c r="L63" s="46" t="s">
        <v>671</v>
      </c>
      <c r="M63" s="5"/>
      <c r="N63" s="5"/>
      <c r="O63" s="5"/>
      <c r="P63" s="5"/>
    </row>
    <row r="64" spans="1:16" ht="48" x14ac:dyDescent="0.25">
      <c r="A64" s="4">
        <v>42</v>
      </c>
      <c r="B64" s="5" t="s">
        <v>17</v>
      </c>
      <c r="C64" s="5" t="s">
        <v>696</v>
      </c>
      <c r="D64" s="5" t="s">
        <v>579</v>
      </c>
      <c r="E64" s="5" t="s">
        <v>20</v>
      </c>
      <c r="F64" s="5" t="s">
        <v>21</v>
      </c>
      <c r="G64" s="5" t="s">
        <v>22</v>
      </c>
      <c r="H64" s="5" t="s">
        <v>23</v>
      </c>
      <c r="I64" s="5" t="s">
        <v>803</v>
      </c>
      <c r="J64" s="5" t="s">
        <v>1661</v>
      </c>
      <c r="K64" s="5"/>
      <c r="L64" s="46" t="s">
        <v>671</v>
      </c>
      <c r="M64" s="5"/>
      <c r="N64" s="5"/>
      <c r="O64" s="5"/>
      <c r="P64" s="5"/>
    </row>
    <row r="65" spans="1:16" ht="48" x14ac:dyDescent="0.25">
      <c r="A65" s="4">
        <v>43</v>
      </c>
      <c r="B65" s="5" t="s">
        <v>17</v>
      </c>
      <c r="C65" s="5" t="s">
        <v>697</v>
      </c>
      <c r="D65" s="5" t="s">
        <v>608</v>
      </c>
      <c r="E65" s="5" t="s">
        <v>20</v>
      </c>
      <c r="F65" s="5" t="s">
        <v>21</v>
      </c>
      <c r="G65" s="5" t="s">
        <v>22</v>
      </c>
      <c r="H65" s="5" t="s">
        <v>23</v>
      </c>
      <c r="I65" s="5" t="s">
        <v>846</v>
      </c>
      <c r="J65" s="5" t="s">
        <v>1667</v>
      </c>
      <c r="K65" s="5"/>
      <c r="L65" s="46" t="s">
        <v>671</v>
      </c>
      <c r="M65" s="5"/>
      <c r="N65" s="5"/>
      <c r="O65" s="5"/>
      <c r="P65" s="5"/>
    </row>
    <row r="66" spans="1:16" ht="48" x14ac:dyDescent="0.25">
      <c r="A66" s="4">
        <v>44</v>
      </c>
      <c r="B66" s="5" t="s">
        <v>17</v>
      </c>
      <c r="C66" s="5" t="s">
        <v>698</v>
      </c>
      <c r="D66" s="5" t="s">
        <v>609</v>
      </c>
      <c r="E66" s="5" t="s">
        <v>20</v>
      </c>
      <c r="F66" s="5" t="s">
        <v>21</v>
      </c>
      <c r="G66" s="5" t="s">
        <v>22</v>
      </c>
      <c r="H66" s="5" t="s">
        <v>23</v>
      </c>
      <c r="I66" s="5" t="s">
        <v>847</v>
      </c>
      <c r="J66" s="5" t="s">
        <v>1667</v>
      </c>
      <c r="K66" s="5"/>
      <c r="L66" s="46" t="s">
        <v>671</v>
      </c>
      <c r="M66" s="5"/>
      <c r="N66" s="5"/>
      <c r="O66" s="5"/>
      <c r="P66" s="5"/>
    </row>
    <row r="67" spans="1:16" ht="48" x14ac:dyDescent="0.25">
      <c r="A67" s="4">
        <v>45</v>
      </c>
      <c r="B67" s="5" t="s">
        <v>17</v>
      </c>
      <c r="C67" s="5" t="s">
        <v>699</v>
      </c>
      <c r="D67" s="5" t="s">
        <v>610</v>
      </c>
      <c r="E67" s="5" t="s">
        <v>20</v>
      </c>
      <c r="F67" s="5" t="s">
        <v>21</v>
      </c>
      <c r="G67" s="5" t="s">
        <v>22</v>
      </c>
      <c r="H67" s="5" t="s">
        <v>23</v>
      </c>
      <c r="I67" s="5" t="s">
        <v>804</v>
      </c>
      <c r="J67" s="5" t="s">
        <v>1553</v>
      </c>
      <c r="K67" s="5"/>
      <c r="L67" s="46" t="s">
        <v>671</v>
      </c>
      <c r="M67" s="5"/>
      <c r="N67" s="5"/>
      <c r="O67" s="5"/>
      <c r="P67" s="5"/>
    </row>
    <row r="68" spans="1:16" ht="48" x14ac:dyDescent="0.25">
      <c r="A68" s="4">
        <v>46</v>
      </c>
      <c r="B68" s="5" t="s">
        <v>17</v>
      </c>
      <c r="C68" s="5" t="s">
        <v>700</v>
      </c>
      <c r="D68" s="5" t="s">
        <v>611</v>
      </c>
      <c r="E68" s="5" t="s">
        <v>20</v>
      </c>
      <c r="F68" s="5" t="s">
        <v>21</v>
      </c>
      <c r="G68" s="5" t="s">
        <v>22</v>
      </c>
      <c r="H68" s="5" t="s">
        <v>23</v>
      </c>
      <c r="I68" s="5" t="s">
        <v>805</v>
      </c>
      <c r="J68" s="5" t="s">
        <v>1553</v>
      </c>
      <c r="K68" s="5"/>
      <c r="L68" s="46" t="s">
        <v>671</v>
      </c>
      <c r="M68" s="5"/>
      <c r="N68" s="5"/>
      <c r="O68" s="5"/>
      <c r="P68" s="5"/>
    </row>
    <row r="69" spans="1:16" x14ac:dyDescent="0.25">
      <c r="A69" s="139" t="s">
        <v>612</v>
      </c>
      <c r="B69" s="140"/>
      <c r="C69" s="140"/>
      <c r="D69" s="140"/>
      <c r="E69" s="140"/>
      <c r="F69" s="140"/>
      <c r="G69" s="140"/>
      <c r="H69" s="140"/>
      <c r="I69" s="140"/>
      <c r="J69" s="140"/>
      <c r="K69" s="140"/>
      <c r="L69" s="140"/>
      <c r="M69" s="140"/>
      <c r="N69" s="140"/>
      <c r="O69" s="140"/>
      <c r="P69" s="140"/>
    </row>
    <row r="70" spans="1:16" ht="60" x14ac:dyDescent="0.25">
      <c r="A70" s="4">
        <v>47</v>
      </c>
      <c r="B70" s="5" t="s">
        <v>17</v>
      </c>
      <c r="C70" s="5" t="s">
        <v>701</v>
      </c>
      <c r="D70" s="5" t="s">
        <v>613</v>
      </c>
      <c r="E70" s="5" t="s">
        <v>20</v>
      </c>
      <c r="F70" s="5" t="s">
        <v>21</v>
      </c>
      <c r="G70" s="5" t="s">
        <v>22</v>
      </c>
      <c r="H70" s="5" t="s">
        <v>23</v>
      </c>
      <c r="I70" s="5" t="s">
        <v>836</v>
      </c>
      <c r="J70" s="5" t="s">
        <v>1651</v>
      </c>
      <c r="K70" s="5"/>
      <c r="L70" s="46" t="s">
        <v>671</v>
      </c>
      <c r="M70" s="5"/>
      <c r="N70" s="5"/>
      <c r="O70" s="5"/>
      <c r="P70" s="5"/>
    </row>
    <row r="71" spans="1:16" ht="60" x14ac:dyDescent="0.25">
      <c r="A71" s="4">
        <v>48</v>
      </c>
      <c r="B71" s="5" t="s">
        <v>17</v>
      </c>
      <c r="C71" s="5" t="s">
        <v>702</v>
      </c>
      <c r="D71" s="5" t="s">
        <v>614</v>
      </c>
      <c r="E71" s="5" t="s">
        <v>20</v>
      </c>
      <c r="F71" s="5" t="s">
        <v>21</v>
      </c>
      <c r="G71" s="5" t="s">
        <v>22</v>
      </c>
      <c r="H71" s="5" t="s">
        <v>23</v>
      </c>
      <c r="I71" s="5" t="s">
        <v>837</v>
      </c>
      <c r="J71" s="5" t="s">
        <v>1652</v>
      </c>
      <c r="K71" s="5"/>
      <c r="L71" s="46" t="s">
        <v>672</v>
      </c>
      <c r="M71" s="5" t="s">
        <v>677</v>
      </c>
      <c r="N71" s="5"/>
      <c r="O71" s="5"/>
      <c r="P71" s="5"/>
    </row>
    <row r="72" spans="1:16" ht="60" x14ac:dyDescent="0.25">
      <c r="A72" s="4">
        <v>49</v>
      </c>
      <c r="B72" s="5" t="s">
        <v>17</v>
      </c>
      <c r="C72" s="5" t="s">
        <v>703</v>
      </c>
      <c r="D72" s="5" t="s">
        <v>615</v>
      </c>
      <c r="E72" s="5" t="s">
        <v>20</v>
      </c>
      <c r="F72" s="5" t="s">
        <v>21</v>
      </c>
      <c r="G72" s="5" t="s">
        <v>22</v>
      </c>
      <c r="H72" s="5" t="s">
        <v>23</v>
      </c>
      <c r="I72" s="5" t="s">
        <v>848</v>
      </c>
      <c r="J72" s="5" t="s">
        <v>1668</v>
      </c>
      <c r="K72" s="5"/>
      <c r="L72" s="46" t="s">
        <v>672</v>
      </c>
      <c r="M72" s="5" t="s">
        <v>677</v>
      </c>
      <c r="N72" s="5"/>
      <c r="O72" s="5"/>
      <c r="P72" s="5"/>
    </row>
    <row r="73" spans="1:16" ht="60" x14ac:dyDescent="0.25">
      <c r="A73" s="4">
        <v>50</v>
      </c>
      <c r="B73" s="5" t="s">
        <v>17</v>
      </c>
      <c r="C73" s="5" t="s">
        <v>704</v>
      </c>
      <c r="D73" s="5" t="s">
        <v>616</v>
      </c>
      <c r="E73" s="5" t="s">
        <v>20</v>
      </c>
      <c r="F73" s="5" t="s">
        <v>21</v>
      </c>
      <c r="G73" s="5" t="s">
        <v>22</v>
      </c>
      <c r="H73" s="5" t="s">
        <v>23</v>
      </c>
      <c r="I73" s="5" t="s">
        <v>849</v>
      </c>
      <c r="J73" s="5" t="s">
        <v>1668</v>
      </c>
      <c r="K73" s="5"/>
      <c r="L73" s="46" t="s">
        <v>672</v>
      </c>
      <c r="M73" s="5" t="s">
        <v>677</v>
      </c>
      <c r="N73" s="5"/>
      <c r="O73" s="5"/>
      <c r="P73" s="5"/>
    </row>
    <row r="74" spans="1:16" x14ac:dyDescent="0.25">
      <c r="A74" s="139" t="s">
        <v>617</v>
      </c>
      <c r="B74" s="140"/>
      <c r="C74" s="140"/>
      <c r="D74" s="140"/>
      <c r="E74" s="140"/>
      <c r="F74" s="140"/>
      <c r="G74" s="140"/>
      <c r="H74" s="140"/>
      <c r="I74" s="140"/>
      <c r="J74" s="140"/>
      <c r="K74" s="140"/>
      <c r="L74" s="140"/>
      <c r="M74" s="140"/>
      <c r="N74" s="140"/>
      <c r="O74" s="140"/>
      <c r="P74" s="140"/>
    </row>
    <row r="75" spans="1:16" ht="58.8" customHeight="1" x14ac:dyDescent="0.25">
      <c r="A75" s="4">
        <v>51</v>
      </c>
      <c r="B75" s="5" t="s">
        <v>17</v>
      </c>
      <c r="C75" s="5" t="s">
        <v>705</v>
      </c>
      <c r="D75" s="5" t="s">
        <v>618</v>
      </c>
      <c r="E75" s="5" t="s">
        <v>61</v>
      </c>
      <c r="F75" s="5" t="s">
        <v>21</v>
      </c>
      <c r="G75" s="5" t="s">
        <v>22</v>
      </c>
      <c r="H75" s="5" t="s">
        <v>23</v>
      </c>
      <c r="I75" s="5" t="s">
        <v>850</v>
      </c>
      <c r="J75" s="5" t="s">
        <v>1669</v>
      </c>
      <c r="K75" s="5"/>
      <c r="L75" s="46" t="s">
        <v>671</v>
      </c>
      <c r="M75" s="5"/>
      <c r="N75" s="5"/>
      <c r="O75" s="5"/>
      <c r="P75" s="5"/>
    </row>
    <row r="76" spans="1:16" x14ac:dyDescent="0.25">
      <c r="A76" s="139" t="s">
        <v>619</v>
      </c>
      <c r="B76" s="140"/>
      <c r="C76" s="140"/>
      <c r="D76" s="140"/>
      <c r="E76" s="140"/>
      <c r="F76" s="140"/>
      <c r="G76" s="140"/>
      <c r="H76" s="140"/>
      <c r="I76" s="140"/>
      <c r="J76" s="140"/>
      <c r="K76" s="140"/>
      <c r="L76" s="140"/>
      <c r="M76" s="140"/>
      <c r="N76" s="140"/>
      <c r="O76" s="140"/>
      <c r="P76" s="140"/>
    </row>
    <row r="77" spans="1:16" ht="39.6" x14ac:dyDescent="0.25">
      <c r="A77" s="3"/>
      <c r="B77" s="5" t="s">
        <v>17</v>
      </c>
      <c r="C77" s="5" t="s">
        <v>706</v>
      </c>
      <c r="D77" s="9" t="s">
        <v>633</v>
      </c>
      <c r="E77" s="5" t="s">
        <v>55</v>
      </c>
      <c r="F77" s="5" t="s">
        <v>21</v>
      </c>
      <c r="G77" s="5" t="s">
        <v>22</v>
      </c>
      <c r="H77" s="5" t="s">
        <v>23</v>
      </c>
      <c r="I77" s="5" t="s">
        <v>807</v>
      </c>
      <c r="J77" s="5" t="s">
        <v>1553</v>
      </c>
      <c r="K77" s="11" t="s">
        <v>637</v>
      </c>
      <c r="L77" s="46" t="s">
        <v>673</v>
      </c>
    </row>
    <row r="78" spans="1:16" ht="39.6" x14ac:dyDescent="0.25">
      <c r="A78" s="3"/>
      <c r="B78" s="5" t="s">
        <v>17</v>
      </c>
      <c r="C78" s="5" t="s">
        <v>707</v>
      </c>
      <c r="D78" s="9" t="s">
        <v>634</v>
      </c>
      <c r="E78" s="5" t="s">
        <v>55</v>
      </c>
      <c r="F78" s="5" t="s">
        <v>21</v>
      </c>
      <c r="G78" s="5" t="s">
        <v>22</v>
      </c>
      <c r="H78" s="5" t="s">
        <v>23</v>
      </c>
      <c r="I78" s="5" t="s">
        <v>808</v>
      </c>
      <c r="J78" s="5" t="s">
        <v>1649</v>
      </c>
      <c r="K78" s="11" t="s">
        <v>637</v>
      </c>
      <c r="L78" s="46" t="s">
        <v>673</v>
      </c>
    </row>
    <row r="79" spans="1:16" ht="42.6" customHeight="1" x14ac:dyDescent="0.25">
      <c r="A79" s="4">
        <v>16</v>
      </c>
      <c r="B79" s="5" t="s">
        <v>17</v>
      </c>
      <c r="C79" s="5" t="s">
        <v>708</v>
      </c>
      <c r="D79" s="10" t="s">
        <v>635</v>
      </c>
      <c r="E79" s="5" t="s">
        <v>55</v>
      </c>
      <c r="F79" s="5" t="s">
        <v>21</v>
      </c>
      <c r="G79" s="5" t="s">
        <v>22</v>
      </c>
      <c r="H79" s="5" t="s">
        <v>23</v>
      </c>
      <c r="I79" s="5" t="s">
        <v>809</v>
      </c>
      <c r="J79" s="5" t="s">
        <v>1654</v>
      </c>
      <c r="K79" s="5"/>
      <c r="L79" s="46" t="s">
        <v>672</v>
      </c>
      <c r="M79" s="5"/>
      <c r="N79" s="5"/>
      <c r="O79" s="5"/>
      <c r="P79" s="5"/>
    </row>
    <row r="80" spans="1:16" ht="43.8" customHeight="1" x14ac:dyDescent="0.25">
      <c r="A80" s="4">
        <v>17</v>
      </c>
      <c r="B80" s="5" t="s">
        <v>17</v>
      </c>
      <c r="C80" s="5" t="s">
        <v>709</v>
      </c>
      <c r="D80" s="10" t="s">
        <v>636</v>
      </c>
      <c r="E80" s="5" t="s">
        <v>55</v>
      </c>
      <c r="F80" s="5" t="s">
        <v>21</v>
      </c>
      <c r="G80" s="5" t="s">
        <v>22</v>
      </c>
      <c r="H80" s="5" t="s">
        <v>23</v>
      </c>
      <c r="I80" s="5" t="s">
        <v>810</v>
      </c>
      <c r="J80" s="5" t="s">
        <v>1654</v>
      </c>
      <c r="K80" s="5"/>
      <c r="L80" s="46" t="s">
        <v>672</v>
      </c>
      <c r="M80" s="5"/>
      <c r="N80" s="5"/>
      <c r="O80" s="5"/>
      <c r="P80" s="5"/>
    </row>
    <row r="81" spans="1:16" x14ac:dyDescent="0.25">
      <c r="A81" s="139" t="s">
        <v>620</v>
      </c>
      <c r="B81" s="140"/>
      <c r="C81" s="140"/>
      <c r="D81" s="140"/>
      <c r="E81" s="140"/>
      <c r="F81" s="140"/>
      <c r="G81" s="140"/>
      <c r="H81" s="140"/>
      <c r="I81" s="140"/>
      <c r="J81" s="140"/>
      <c r="K81" s="140"/>
      <c r="L81" s="140"/>
      <c r="M81" s="140"/>
      <c r="N81" s="140"/>
      <c r="O81" s="140"/>
      <c r="P81" s="140"/>
    </row>
    <row r="82" spans="1:16" ht="72" x14ac:dyDescent="0.25">
      <c r="A82" s="4">
        <v>18</v>
      </c>
      <c r="B82" s="5" t="s">
        <v>17</v>
      </c>
      <c r="C82" s="5" t="s">
        <v>710</v>
      </c>
      <c r="D82" s="5" t="s">
        <v>638</v>
      </c>
      <c r="E82" s="5" t="s">
        <v>55</v>
      </c>
      <c r="F82" s="5" t="s">
        <v>21</v>
      </c>
      <c r="G82" s="5" t="s">
        <v>22</v>
      </c>
      <c r="H82" s="5" t="s">
        <v>23</v>
      </c>
      <c r="I82" s="5" t="s">
        <v>811</v>
      </c>
      <c r="J82" s="5" t="s">
        <v>1654</v>
      </c>
      <c r="K82" s="5" t="s">
        <v>640</v>
      </c>
      <c r="L82" s="46" t="s">
        <v>672</v>
      </c>
      <c r="M82" s="5"/>
      <c r="N82" s="5"/>
      <c r="O82" s="5"/>
      <c r="P82" s="5"/>
    </row>
    <row r="83" spans="1:16" ht="67.8" customHeight="1" x14ac:dyDescent="0.25">
      <c r="A83" s="4">
        <v>19</v>
      </c>
      <c r="B83" s="5" t="s">
        <v>17</v>
      </c>
      <c r="C83" s="5" t="s">
        <v>711</v>
      </c>
      <c r="D83" s="5" t="s">
        <v>643</v>
      </c>
      <c r="E83" s="5" t="s">
        <v>55</v>
      </c>
      <c r="F83" s="5" t="s">
        <v>21</v>
      </c>
      <c r="G83" s="5" t="s">
        <v>22</v>
      </c>
      <c r="H83" s="5" t="s">
        <v>641</v>
      </c>
      <c r="I83" s="5" t="s">
        <v>642</v>
      </c>
      <c r="J83" s="5" t="s">
        <v>1655</v>
      </c>
      <c r="K83" s="5"/>
      <c r="L83" s="46" t="s">
        <v>671</v>
      </c>
      <c r="M83" s="5"/>
      <c r="N83" s="5"/>
      <c r="O83" s="5"/>
      <c r="P83" s="5"/>
    </row>
    <row r="84" spans="1:16" ht="48" x14ac:dyDescent="0.25">
      <c r="A84" s="4">
        <v>19</v>
      </c>
      <c r="B84" s="5" t="s">
        <v>17</v>
      </c>
      <c r="C84" s="5" t="s">
        <v>712</v>
      </c>
      <c r="D84" s="5" t="s">
        <v>644</v>
      </c>
      <c r="E84" s="5" t="s">
        <v>55</v>
      </c>
      <c r="F84" s="5" t="s">
        <v>21</v>
      </c>
      <c r="G84" s="5" t="s">
        <v>22</v>
      </c>
      <c r="H84" s="5" t="s">
        <v>23</v>
      </c>
      <c r="I84" s="5" t="s">
        <v>1379</v>
      </c>
      <c r="J84" s="5" t="s">
        <v>1654</v>
      </c>
      <c r="K84" s="5" t="s">
        <v>639</v>
      </c>
      <c r="L84" s="46" t="s">
        <v>673</v>
      </c>
      <c r="M84" s="5"/>
      <c r="N84" s="5"/>
      <c r="O84" s="5"/>
      <c r="P84" s="5"/>
    </row>
    <row r="85" spans="1:16" x14ac:dyDescent="0.25">
      <c r="A85" s="139" t="s">
        <v>621</v>
      </c>
      <c r="B85" s="140"/>
      <c r="C85" s="140"/>
      <c r="D85" s="140"/>
      <c r="E85" s="140"/>
      <c r="F85" s="140"/>
      <c r="G85" s="140"/>
      <c r="H85" s="140"/>
      <c r="I85" s="140"/>
      <c r="J85" s="140"/>
      <c r="K85" s="140"/>
      <c r="L85" s="140"/>
      <c r="M85" s="140"/>
      <c r="N85" s="140"/>
      <c r="O85" s="140"/>
      <c r="P85" s="140"/>
    </row>
    <row r="86" spans="1:16" ht="48" x14ac:dyDescent="0.25">
      <c r="A86" s="4">
        <v>56</v>
      </c>
      <c r="B86" s="5" t="s">
        <v>17</v>
      </c>
      <c r="C86" s="5" t="s">
        <v>713</v>
      </c>
      <c r="D86" s="5" t="s">
        <v>565</v>
      </c>
      <c r="E86" s="5" t="s">
        <v>20</v>
      </c>
      <c r="F86" s="5" t="s">
        <v>21</v>
      </c>
      <c r="G86" s="5" t="s">
        <v>22</v>
      </c>
      <c r="H86" s="5" t="s">
        <v>23</v>
      </c>
      <c r="I86" s="5" t="s">
        <v>812</v>
      </c>
      <c r="J86" s="5" t="s">
        <v>1509</v>
      </c>
      <c r="K86" s="5"/>
      <c r="L86" s="46" t="s">
        <v>671</v>
      </c>
      <c r="M86" s="5"/>
      <c r="N86" s="5"/>
      <c r="O86" s="5"/>
      <c r="P86" s="5"/>
    </row>
    <row r="87" spans="1:16" ht="48" x14ac:dyDescent="0.25">
      <c r="A87" s="4">
        <v>57</v>
      </c>
      <c r="B87" s="5" t="s">
        <v>17</v>
      </c>
      <c r="C87" s="5" t="s">
        <v>714</v>
      </c>
      <c r="D87" s="5" t="s">
        <v>567</v>
      </c>
      <c r="E87" s="5" t="s">
        <v>20</v>
      </c>
      <c r="F87" s="5" t="s">
        <v>21</v>
      </c>
      <c r="G87" s="5" t="s">
        <v>22</v>
      </c>
      <c r="H87" s="5" t="s">
        <v>23</v>
      </c>
      <c r="I87" s="5" t="s">
        <v>813</v>
      </c>
      <c r="J87" s="5" t="s">
        <v>1509</v>
      </c>
      <c r="K87" s="5"/>
      <c r="L87" s="46" t="s">
        <v>671</v>
      </c>
      <c r="M87" s="5"/>
      <c r="N87" s="5"/>
      <c r="O87" s="5"/>
      <c r="P87" s="5"/>
    </row>
    <row r="88" spans="1:16" ht="48" x14ac:dyDescent="0.25">
      <c r="A88" s="4">
        <v>58</v>
      </c>
      <c r="B88" s="5" t="s">
        <v>17</v>
      </c>
      <c r="C88" s="5" t="s">
        <v>715</v>
      </c>
      <c r="D88" s="5" t="s">
        <v>603</v>
      </c>
      <c r="E88" s="5" t="s">
        <v>20</v>
      </c>
      <c r="F88" s="5" t="s">
        <v>21</v>
      </c>
      <c r="G88" s="5" t="s">
        <v>22</v>
      </c>
      <c r="H88" s="5" t="s">
        <v>23</v>
      </c>
      <c r="I88" s="5" t="s">
        <v>814</v>
      </c>
      <c r="J88" s="5" t="s">
        <v>1531</v>
      </c>
      <c r="K88" s="5"/>
      <c r="L88" s="46" t="s">
        <v>671</v>
      </c>
      <c r="M88" s="5"/>
      <c r="N88" s="5"/>
      <c r="O88" s="5"/>
      <c r="P88" s="5"/>
    </row>
    <row r="89" spans="1:16" ht="48" x14ac:dyDescent="0.25">
      <c r="A89" s="4">
        <v>59</v>
      </c>
      <c r="B89" s="5" t="s">
        <v>17</v>
      </c>
      <c r="C89" s="5" t="s">
        <v>716</v>
      </c>
      <c r="D89" s="5" t="s">
        <v>604</v>
      </c>
      <c r="E89" s="5" t="s">
        <v>20</v>
      </c>
      <c r="F89" s="5" t="s">
        <v>21</v>
      </c>
      <c r="G89" s="5" t="s">
        <v>22</v>
      </c>
      <c r="H89" s="5" t="s">
        <v>23</v>
      </c>
      <c r="I89" s="5" t="s">
        <v>815</v>
      </c>
      <c r="J89" s="5" t="s">
        <v>1531</v>
      </c>
      <c r="K89" s="5"/>
      <c r="L89" s="46" t="s">
        <v>671</v>
      </c>
      <c r="M89" s="5"/>
      <c r="N89" s="5"/>
      <c r="O89" s="5"/>
      <c r="P89" s="5"/>
    </row>
    <row r="90" spans="1:16" ht="48" x14ac:dyDescent="0.25">
      <c r="A90" s="4">
        <v>60</v>
      </c>
      <c r="B90" s="5" t="s">
        <v>17</v>
      </c>
      <c r="C90" s="5" t="s">
        <v>717</v>
      </c>
      <c r="D90" s="5" t="s">
        <v>605</v>
      </c>
      <c r="E90" s="5" t="s">
        <v>20</v>
      </c>
      <c r="F90" s="5" t="s">
        <v>21</v>
      </c>
      <c r="G90" s="5" t="s">
        <v>22</v>
      </c>
      <c r="H90" s="5" t="s">
        <v>23</v>
      </c>
      <c r="I90" s="5" t="s">
        <v>816</v>
      </c>
      <c r="J90" s="5" t="s">
        <v>1531</v>
      </c>
      <c r="K90" s="5"/>
      <c r="L90" s="46" t="s">
        <v>671</v>
      </c>
      <c r="M90" s="5"/>
      <c r="N90" s="5"/>
      <c r="O90" s="5"/>
      <c r="P90" s="5"/>
    </row>
    <row r="91" spans="1:16" ht="48" x14ac:dyDescent="0.25">
      <c r="A91" s="4">
        <v>61</v>
      </c>
      <c r="B91" s="5" t="s">
        <v>17</v>
      </c>
      <c r="C91" s="5" t="s">
        <v>718</v>
      </c>
      <c r="D91" s="5" t="s">
        <v>606</v>
      </c>
      <c r="E91" s="5" t="s">
        <v>20</v>
      </c>
      <c r="F91" s="5" t="s">
        <v>21</v>
      </c>
      <c r="G91" s="5" t="s">
        <v>22</v>
      </c>
      <c r="H91" s="5" t="s">
        <v>23</v>
      </c>
      <c r="I91" s="5" t="s">
        <v>817</v>
      </c>
      <c r="J91" s="5" t="s">
        <v>1531</v>
      </c>
      <c r="K91" s="5"/>
      <c r="L91" s="46" t="s">
        <v>671</v>
      </c>
      <c r="M91" s="5"/>
      <c r="N91" s="5"/>
      <c r="O91" s="5"/>
      <c r="P91" s="5"/>
    </row>
    <row r="92" spans="1:16" x14ac:dyDescent="0.25">
      <c r="A92" s="139" t="s">
        <v>622</v>
      </c>
      <c r="B92" s="140"/>
      <c r="C92" s="140"/>
      <c r="D92" s="140"/>
      <c r="E92" s="140"/>
      <c r="F92" s="140"/>
      <c r="G92" s="140"/>
      <c r="H92" s="140"/>
      <c r="I92" s="140"/>
      <c r="J92" s="140"/>
      <c r="K92" s="140"/>
      <c r="L92" s="140"/>
      <c r="M92" s="140"/>
      <c r="N92" s="140"/>
      <c r="O92" s="140"/>
      <c r="P92" s="140"/>
    </row>
    <row r="93" spans="1:16" ht="48" x14ac:dyDescent="0.25">
      <c r="A93" s="4">
        <v>62</v>
      </c>
      <c r="B93" s="5" t="s">
        <v>17</v>
      </c>
      <c r="C93" s="5" t="s">
        <v>719</v>
      </c>
      <c r="D93" s="5" t="s">
        <v>577</v>
      </c>
      <c r="E93" s="5" t="s">
        <v>20</v>
      </c>
      <c r="F93" s="5" t="s">
        <v>21</v>
      </c>
      <c r="G93" s="5" t="s">
        <v>22</v>
      </c>
      <c r="H93" s="5" t="s">
        <v>23</v>
      </c>
      <c r="I93" s="5" t="s">
        <v>818</v>
      </c>
      <c r="J93" s="5" t="s">
        <v>1509</v>
      </c>
      <c r="K93" s="5"/>
      <c r="L93" s="46" t="s">
        <v>671</v>
      </c>
      <c r="M93" s="5"/>
      <c r="N93" s="5"/>
      <c r="O93" s="5"/>
      <c r="P93" s="5"/>
    </row>
    <row r="94" spans="1:16" ht="48" x14ac:dyDescent="0.25">
      <c r="A94" s="4">
        <v>63</v>
      </c>
      <c r="B94" s="5" t="s">
        <v>17</v>
      </c>
      <c r="C94" s="5" t="s">
        <v>720</v>
      </c>
      <c r="D94" s="5" t="s">
        <v>579</v>
      </c>
      <c r="E94" s="5" t="s">
        <v>20</v>
      </c>
      <c r="F94" s="5" t="s">
        <v>21</v>
      </c>
      <c r="G94" s="5" t="s">
        <v>22</v>
      </c>
      <c r="H94" s="5" t="s">
        <v>23</v>
      </c>
      <c r="I94" s="5" t="s">
        <v>819</v>
      </c>
      <c r="J94" s="5" t="s">
        <v>1509</v>
      </c>
      <c r="K94" s="5"/>
      <c r="L94" s="46" t="s">
        <v>671</v>
      </c>
      <c r="M94" s="5"/>
      <c r="N94" s="5"/>
      <c r="O94" s="5"/>
      <c r="P94" s="5"/>
    </row>
    <row r="95" spans="1:16" ht="48" x14ac:dyDescent="0.25">
      <c r="A95" s="4">
        <v>64</v>
      </c>
      <c r="B95" s="5" t="s">
        <v>17</v>
      </c>
      <c r="C95" s="5" t="s">
        <v>721</v>
      </c>
      <c r="D95" s="5" t="s">
        <v>608</v>
      </c>
      <c r="E95" s="5" t="s">
        <v>20</v>
      </c>
      <c r="F95" s="5" t="s">
        <v>21</v>
      </c>
      <c r="G95" s="5" t="s">
        <v>22</v>
      </c>
      <c r="H95" s="5" t="s">
        <v>23</v>
      </c>
      <c r="I95" s="5" t="s">
        <v>820</v>
      </c>
      <c r="J95" s="5" t="s">
        <v>1531</v>
      </c>
      <c r="K95" s="5"/>
      <c r="L95" s="46" t="s">
        <v>671</v>
      </c>
      <c r="M95" s="5"/>
      <c r="N95" s="5"/>
      <c r="O95" s="5"/>
      <c r="P95" s="5"/>
    </row>
    <row r="96" spans="1:16" ht="48" x14ac:dyDescent="0.25">
      <c r="A96" s="4">
        <v>65</v>
      </c>
      <c r="B96" s="5" t="s">
        <v>17</v>
      </c>
      <c r="C96" s="5" t="s">
        <v>722</v>
      </c>
      <c r="D96" s="5" t="s">
        <v>609</v>
      </c>
      <c r="E96" s="5" t="s">
        <v>20</v>
      </c>
      <c r="F96" s="5" t="s">
        <v>21</v>
      </c>
      <c r="G96" s="5" t="s">
        <v>22</v>
      </c>
      <c r="H96" s="5" t="s">
        <v>23</v>
      </c>
      <c r="I96" s="5" t="s">
        <v>821</v>
      </c>
      <c r="J96" s="5" t="s">
        <v>1531</v>
      </c>
      <c r="K96" s="5"/>
      <c r="L96" s="46" t="s">
        <v>671</v>
      </c>
      <c r="M96" s="5"/>
      <c r="N96" s="5"/>
      <c r="O96" s="5"/>
      <c r="P96" s="5"/>
    </row>
    <row r="97" spans="1:16" x14ac:dyDescent="0.25">
      <c r="A97" s="139" t="s">
        <v>626</v>
      </c>
      <c r="B97" s="140"/>
      <c r="C97" s="140"/>
      <c r="D97" s="140"/>
      <c r="E97" s="140"/>
      <c r="F97" s="140"/>
      <c r="G97" s="140"/>
      <c r="H97" s="140"/>
      <c r="I97" s="140"/>
      <c r="J97" s="140"/>
      <c r="K97" s="140"/>
      <c r="L97" s="140"/>
      <c r="M97" s="140"/>
      <c r="N97" s="140"/>
      <c r="O97" s="140"/>
      <c r="P97" s="140"/>
    </row>
    <row r="98" spans="1:16" ht="60" x14ac:dyDescent="0.25">
      <c r="A98" s="4">
        <v>68</v>
      </c>
      <c r="B98" s="5" t="s">
        <v>17</v>
      </c>
      <c r="C98" s="5" t="s">
        <v>723</v>
      </c>
      <c r="D98" s="5" t="s">
        <v>613</v>
      </c>
      <c r="E98" s="5" t="s">
        <v>20</v>
      </c>
      <c r="F98" s="5" t="s">
        <v>21</v>
      </c>
      <c r="G98" s="5" t="s">
        <v>22</v>
      </c>
      <c r="H98" s="5" t="s">
        <v>23</v>
      </c>
      <c r="I98" s="5" t="s">
        <v>851</v>
      </c>
      <c r="J98" s="5" t="s">
        <v>1668</v>
      </c>
      <c r="K98" s="5"/>
      <c r="L98" s="46" t="s">
        <v>671</v>
      </c>
      <c r="M98" s="5"/>
      <c r="N98" s="5"/>
      <c r="O98" s="5"/>
      <c r="P98" s="5"/>
    </row>
    <row r="99" spans="1:16" ht="60" x14ac:dyDescent="0.25">
      <c r="A99" s="4">
        <v>69</v>
      </c>
      <c r="B99" s="5" t="s">
        <v>17</v>
      </c>
      <c r="C99" s="5" t="s">
        <v>724</v>
      </c>
      <c r="D99" s="5" t="s">
        <v>614</v>
      </c>
      <c r="E99" s="5" t="s">
        <v>20</v>
      </c>
      <c r="F99" s="5" t="s">
        <v>21</v>
      </c>
      <c r="G99" s="5" t="s">
        <v>22</v>
      </c>
      <c r="H99" s="5" t="s">
        <v>23</v>
      </c>
      <c r="I99" s="5" t="s">
        <v>852</v>
      </c>
      <c r="J99" s="5" t="s">
        <v>1668</v>
      </c>
      <c r="K99" s="5"/>
      <c r="L99" s="46" t="s">
        <v>671</v>
      </c>
      <c r="M99" s="5"/>
      <c r="N99" s="5"/>
      <c r="O99" s="5"/>
      <c r="P99" s="5"/>
    </row>
    <row r="100" spans="1:16" x14ac:dyDescent="0.25">
      <c r="A100" s="139" t="s">
        <v>628</v>
      </c>
      <c r="B100" s="140"/>
      <c r="C100" s="140"/>
      <c r="D100" s="140"/>
      <c r="E100" s="140"/>
      <c r="F100" s="140"/>
      <c r="G100" s="140"/>
      <c r="H100" s="140"/>
      <c r="I100" s="140"/>
      <c r="J100" s="140"/>
      <c r="K100" s="140"/>
      <c r="L100" s="140"/>
      <c r="M100" s="140"/>
      <c r="N100" s="140"/>
      <c r="O100" s="140"/>
      <c r="P100" s="140"/>
    </row>
    <row r="101" spans="1:16" ht="60" x14ac:dyDescent="0.25">
      <c r="A101" s="4">
        <v>70</v>
      </c>
      <c r="B101" s="5" t="s">
        <v>17</v>
      </c>
      <c r="C101" s="5" t="s">
        <v>725</v>
      </c>
      <c r="D101" s="5" t="s">
        <v>618</v>
      </c>
      <c r="E101" s="5" t="s">
        <v>61</v>
      </c>
      <c r="F101" s="5" t="s">
        <v>21</v>
      </c>
      <c r="G101" s="5" t="s">
        <v>22</v>
      </c>
      <c r="H101" s="5" t="s">
        <v>23</v>
      </c>
      <c r="I101" s="5" t="s">
        <v>853</v>
      </c>
      <c r="J101" s="5" t="s">
        <v>1670</v>
      </c>
      <c r="K101" s="5"/>
      <c r="L101" s="46" t="s">
        <v>671</v>
      </c>
      <c r="M101" s="5"/>
      <c r="N101" s="5"/>
      <c r="O101" s="5"/>
      <c r="P101" s="5"/>
    </row>
    <row r="102" spans="1:16" x14ac:dyDescent="0.25">
      <c r="A102" s="139" t="s">
        <v>630</v>
      </c>
      <c r="B102" s="140"/>
      <c r="C102" s="140"/>
      <c r="D102" s="140"/>
      <c r="E102" s="140"/>
      <c r="F102" s="140"/>
      <c r="G102" s="140"/>
      <c r="H102" s="140"/>
      <c r="I102" s="140"/>
      <c r="J102" s="140"/>
      <c r="K102" s="140"/>
      <c r="L102" s="140"/>
      <c r="M102" s="140"/>
      <c r="N102" s="140"/>
      <c r="O102" s="140"/>
      <c r="P102" s="140"/>
    </row>
    <row r="103" spans="1:16" ht="39.6" x14ac:dyDescent="0.25">
      <c r="A103" s="4">
        <v>71</v>
      </c>
      <c r="B103" s="5" t="s">
        <v>17</v>
      </c>
      <c r="C103" s="5" t="s">
        <v>726</v>
      </c>
      <c r="D103" s="9" t="s">
        <v>633</v>
      </c>
      <c r="E103" s="5" t="s">
        <v>55</v>
      </c>
      <c r="F103" s="5" t="s">
        <v>21</v>
      </c>
      <c r="G103" s="5" t="s">
        <v>22</v>
      </c>
      <c r="H103" s="5" t="s">
        <v>23</v>
      </c>
      <c r="I103" s="5" t="s">
        <v>824</v>
      </c>
      <c r="J103" s="5" t="s">
        <v>1553</v>
      </c>
      <c r="K103" s="5"/>
      <c r="L103" s="46" t="s">
        <v>671</v>
      </c>
      <c r="M103" s="5"/>
      <c r="N103" s="5"/>
      <c r="O103" s="5"/>
      <c r="P103" s="5"/>
    </row>
    <row r="104" spans="1:16" ht="39.6" x14ac:dyDescent="0.25">
      <c r="A104" s="4">
        <v>72</v>
      </c>
      <c r="B104" s="5" t="s">
        <v>17</v>
      </c>
      <c r="C104" s="5" t="s">
        <v>727</v>
      </c>
      <c r="D104" s="9" t="s">
        <v>634</v>
      </c>
      <c r="E104" s="5" t="s">
        <v>55</v>
      </c>
      <c r="F104" s="5" t="s">
        <v>21</v>
      </c>
      <c r="G104" s="5" t="s">
        <v>22</v>
      </c>
      <c r="H104" s="5" t="s">
        <v>23</v>
      </c>
      <c r="I104" s="5" t="s">
        <v>825</v>
      </c>
      <c r="J104" s="5" t="s">
        <v>1649</v>
      </c>
      <c r="K104" s="5"/>
      <c r="L104" s="46" t="s">
        <v>671</v>
      </c>
      <c r="M104" s="5"/>
      <c r="N104" s="5"/>
      <c r="O104" s="5"/>
      <c r="P104" s="5"/>
    </row>
    <row r="105" spans="1:16" ht="52.8" x14ac:dyDescent="0.25">
      <c r="B105" s="5" t="s">
        <v>17</v>
      </c>
      <c r="C105" s="5" t="s">
        <v>728</v>
      </c>
      <c r="D105" s="10" t="s">
        <v>635</v>
      </c>
      <c r="E105" s="5" t="s">
        <v>55</v>
      </c>
      <c r="F105" s="5" t="s">
        <v>21</v>
      </c>
      <c r="G105" s="5" t="s">
        <v>22</v>
      </c>
      <c r="H105" s="5" t="s">
        <v>23</v>
      </c>
      <c r="I105" s="5" t="s">
        <v>826</v>
      </c>
      <c r="J105" s="5" t="s">
        <v>1531</v>
      </c>
      <c r="K105" s="5"/>
      <c r="L105" s="46" t="s">
        <v>671</v>
      </c>
      <c r="M105" s="5"/>
      <c r="N105" s="5"/>
      <c r="O105" s="5"/>
      <c r="P105" s="5"/>
    </row>
    <row r="106" spans="1:16" ht="52.8" x14ac:dyDescent="0.25">
      <c r="B106" s="5" t="s">
        <v>17</v>
      </c>
      <c r="C106" s="5" t="s">
        <v>729</v>
      </c>
      <c r="D106" s="10" t="s">
        <v>636</v>
      </c>
      <c r="E106" s="5" t="s">
        <v>55</v>
      </c>
      <c r="F106" s="5" t="s">
        <v>21</v>
      </c>
      <c r="G106" s="5" t="s">
        <v>22</v>
      </c>
      <c r="H106" s="5" t="s">
        <v>23</v>
      </c>
      <c r="I106" s="5" t="s">
        <v>827</v>
      </c>
      <c r="J106" s="5" t="s">
        <v>1531</v>
      </c>
      <c r="K106" s="5"/>
      <c r="L106" s="46" t="s">
        <v>671</v>
      </c>
      <c r="M106" s="5"/>
      <c r="N106" s="5"/>
      <c r="O106" s="5"/>
      <c r="P106" s="5"/>
    </row>
  </sheetData>
  <mergeCells count="33">
    <mergeCell ref="A17:P17"/>
    <mergeCell ref="A102:P102"/>
    <mergeCell ref="H2:H3"/>
    <mergeCell ref="A85:P85"/>
    <mergeCell ref="A2:A3"/>
    <mergeCell ref="A33:P33"/>
    <mergeCell ref="A69:P69"/>
    <mergeCell ref="K2:K3"/>
    <mergeCell ref="A24:P24"/>
    <mergeCell ref="A48:P48"/>
    <mergeCell ref="A100:P100"/>
    <mergeCell ref="A74:P74"/>
    <mergeCell ref="J2:J3"/>
    <mergeCell ref="L2:L3"/>
    <mergeCell ref="A92:P92"/>
    <mergeCell ref="A40:P40"/>
    <mergeCell ref="A29:P29"/>
    <mergeCell ref="A22:P22"/>
    <mergeCell ref="A97:P97"/>
    <mergeCell ref="M2:M3"/>
    <mergeCell ref="B2:B3"/>
    <mergeCell ref="A4:P4"/>
    <mergeCell ref="A81:P81"/>
    <mergeCell ref="A12:P12"/>
    <mergeCell ref="A55:P55"/>
    <mergeCell ref="C2:F2"/>
    <mergeCell ref="G2:G3"/>
    <mergeCell ref="I2:I3"/>
    <mergeCell ref="A76:P76"/>
    <mergeCell ref="A50:P50"/>
    <mergeCell ref="A5:P5"/>
    <mergeCell ref="A45:P45"/>
    <mergeCell ref="A62:P62"/>
  </mergeCells>
  <phoneticPr fontId="4" type="noConversion"/>
  <conditionalFormatting sqref="L6:L11">
    <cfRule type="cellIs" dxfId="30" priority="31" operator="equal">
      <formula>"Fail"</formula>
    </cfRule>
  </conditionalFormatting>
  <conditionalFormatting sqref="L49">
    <cfRule type="cellIs" dxfId="29" priority="17" operator="equal">
      <formula>"Fail"</formula>
    </cfRule>
  </conditionalFormatting>
  <conditionalFormatting sqref="L13:L16">
    <cfRule type="cellIs" dxfId="28" priority="29" operator="equal">
      <formula>"Fail"</formula>
    </cfRule>
  </conditionalFormatting>
  <conditionalFormatting sqref="L18:L21">
    <cfRule type="cellIs" dxfId="27" priority="28" operator="equal">
      <formula>"Fail"</formula>
    </cfRule>
  </conditionalFormatting>
  <conditionalFormatting sqref="L23">
    <cfRule type="cellIs" dxfId="26" priority="27" operator="equal">
      <formula>"Fail"</formula>
    </cfRule>
  </conditionalFormatting>
  <conditionalFormatting sqref="L25:L28">
    <cfRule type="cellIs" dxfId="25" priority="26" operator="equal">
      <formula>"Fail"</formula>
    </cfRule>
  </conditionalFormatting>
  <conditionalFormatting sqref="L30">
    <cfRule type="cellIs" dxfId="24" priority="25" operator="equal">
      <formula>"Fail"</formula>
    </cfRule>
  </conditionalFormatting>
  <conditionalFormatting sqref="L31">
    <cfRule type="cellIs" dxfId="23" priority="24" operator="equal">
      <formula>"Fail"</formula>
    </cfRule>
  </conditionalFormatting>
  <conditionalFormatting sqref="L32">
    <cfRule type="cellIs" dxfId="22" priority="23" operator="equal">
      <formula>"Fail"</formula>
    </cfRule>
  </conditionalFormatting>
  <conditionalFormatting sqref="L34">
    <cfRule type="cellIs" dxfId="21" priority="22" operator="equal">
      <formula>"Fail"</formula>
    </cfRule>
  </conditionalFormatting>
  <conditionalFormatting sqref="L35:L39">
    <cfRule type="cellIs" dxfId="20" priority="21" operator="equal">
      <formula>"Fail"</formula>
    </cfRule>
  </conditionalFormatting>
  <conditionalFormatting sqref="L41:L44">
    <cfRule type="cellIs" dxfId="19" priority="19" operator="equal">
      <formula>"Fail"</formula>
    </cfRule>
  </conditionalFormatting>
  <conditionalFormatting sqref="L46:L47">
    <cfRule type="cellIs" dxfId="18" priority="18" operator="equal">
      <formula>"Fail"</formula>
    </cfRule>
  </conditionalFormatting>
  <conditionalFormatting sqref="L51:L54">
    <cfRule type="cellIs" dxfId="17" priority="16" operator="equal">
      <formula>"Fail"</formula>
    </cfRule>
  </conditionalFormatting>
  <conditionalFormatting sqref="L56:L61">
    <cfRule type="cellIs" dxfId="16" priority="15" operator="equal">
      <formula>"Fail"</formula>
    </cfRule>
  </conditionalFormatting>
  <conditionalFormatting sqref="L63:L68">
    <cfRule type="cellIs" dxfId="15" priority="14" operator="equal">
      <formula>"Fail"</formula>
    </cfRule>
  </conditionalFormatting>
  <conditionalFormatting sqref="L70">
    <cfRule type="cellIs" dxfId="14" priority="13" operator="equal">
      <formula>"Fail"</formula>
    </cfRule>
  </conditionalFormatting>
  <conditionalFormatting sqref="L71:L73">
    <cfRule type="cellIs" dxfId="13" priority="12" operator="equal">
      <formula>"Fail"</formula>
    </cfRule>
  </conditionalFormatting>
  <conditionalFormatting sqref="L75">
    <cfRule type="cellIs" dxfId="12" priority="11" operator="equal">
      <formula>"Fail"</formula>
    </cfRule>
  </conditionalFormatting>
  <conditionalFormatting sqref="L77:L80">
    <cfRule type="cellIs" dxfId="11" priority="10" operator="equal">
      <formula>"Fail"</formula>
    </cfRule>
  </conditionalFormatting>
  <conditionalFormatting sqref="L82">
    <cfRule type="cellIs" dxfId="10" priority="9" operator="equal">
      <formula>"Fail"</formula>
    </cfRule>
  </conditionalFormatting>
  <conditionalFormatting sqref="L83">
    <cfRule type="cellIs" dxfId="9" priority="8" operator="equal">
      <formula>"Fail"</formula>
    </cfRule>
  </conditionalFormatting>
  <conditionalFormatting sqref="L84">
    <cfRule type="cellIs" dxfId="8" priority="7" operator="equal">
      <formula>"Fail"</formula>
    </cfRule>
  </conditionalFormatting>
  <conditionalFormatting sqref="L86:L91">
    <cfRule type="cellIs" dxfId="7" priority="6" operator="equal">
      <formula>"Fail"</formula>
    </cfRule>
  </conditionalFormatting>
  <conditionalFormatting sqref="L93:L96">
    <cfRule type="cellIs" dxfId="6" priority="5" operator="equal">
      <formula>"Fail"</formula>
    </cfRule>
  </conditionalFormatting>
  <conditionalFormatting sqref="L98:L99">
    <cfRule type="cellIs" dxfId="5" priority="4" operator="equal">
      <formula>"Fail"</formula>
    </cfRule>
  </conditionalFormatting>
  <conditionalFormatting sqref="L101">
    <cfRule type="cellIs" dxfId="4" priority="3" operator="equal">
      <formula>"Fail"</formula>
    </cfRule>
  </conditionalFormatting>
  <conditionalFormatting sqref="L103">
    <cfRule type="cellIs" dxfId="3" priority="2" operator="equal">
      <formula>"Fail"</formula>
    </cfRule>
  </conditionalFormatting>
  <conditionalFormatting sqref="L104:L106">
    <cfRule type="cellIs" dxfId="2" priority="1" operator="equal">
      <formula>"Fail"</formula>
    </cfRule>
  </conditionalFormatting>
  <dataValidations count="1">
    <dataValidation type="list" allowBlank="1" showInputMessage="1" showErrorMessage="1" sqref="L6:L11 L13:L16 L18:L21 L23 L25:L28 L30:L32 L103:L106 L41:L44 L46:L47 L49 L51:L54 L56:L61 L63:L68 L70:L73 L75 L77:L80 L82:L84 L86:L91 L93:L96 L98:L99 L101 L34:L39">
      <formula1>"Pass,Fail,Not Apply,Block,Skip"</formula1>
    </dataValidation>
  </dataValidations>
  <pageMargins left="0.75" right="0.75" top="1" bottom="1" header="0.5" footer="0.5"/>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abSelected="1" workbookViewId="0">
      <selection activeCell="G15" sqref="G15"/>
    </sheetView>
  </sheetViews>
  <sheetFormatPr defaultColWidth="9" defaultRowHeight="30" customHeight="1" x14ac:dyDescent="0.25"/>
  <cols>
    <col min="1" max="1" width="6" style="17" customWidth="1"/>
    <col min="2" max="2" width="35.109375" style="17" customWidth="1"/>
    <col min="3" max="3" width="16.109375" style="40" customWidth="1"/>
    <col min="4" max="5" width="11.109375" style="40" customWidth="1"/>
    <col min="6" max="6" width="15.6640625" style="40" customWidth="1"/>
    <col min="7" max="7" width="14.33203125" style="40" customWidth="1"/>
    <col min="8" max="8" width="11.109375" style="40" customWidth="1"/>
    <col min="9" max="9" width="13.44140625" style="40" customWidth="1"/>
    <col min="10" max="10" width="16" style="17" customWidth="1"/>
    <col min="11" max="16384" width="9" style="17"/>
  </cols>
  <sheetData>
    <row r="1" spans="1:10" ht="15.6" x14ac:dyDescent="0.25">
      <c r="A1" s="12"/>
      <c r="B1" s="13"/>
      <c r="C1" s="14"/>
      <c r="D1" s="15"/>
      <c r="E1" s="15"/>
      <c r="F1" s="15"/>
      <c r="G1" s="15"/>
      <c r="H1" s="15"/>
      <c r="I1" s="15"/>
      <c r="J1" s="16"/>
    </row>
    <row r="2" spans="1:10" s="19" customFormat="1" ht="15.6" x14ac:dyDescent="0.25">
      <c r="A2" s="18"/>
      <c r="B2" s="154" t="s">
        <v>645</v>
      </c>
      <c r="C2" s="154"/>
      <c r="D2" s="154"/>
      <c r="E2" s="154"/>
      <c r="F2" s="154"/>
      <c r="G2" s="154"/>
      <c r="H2" s="154"/>
      <c r="I2" s="154"/>
      <c r="J2" s="16"/>
    </row>
    <row r="3" spans="1:10" s="19" customFormat="1" ht="39.6" x14ac:dyDescent="0.25">
      <c r="A3" s="18"/>
      <c r="B3" s="20" t="s">
        <v>646</v>
      </c>
      <c r="C3" s="21" t="s">
        <v>647</v>
      </c>
      <c r="D3" s="22" t="s">
        <v>648</v>
      </c>
      <c r="E3" s="22" t="s">
        <v>649</v>
      </c>
      <c r="F3" s="23" t="s">
        <v>670</v>
      </c>
      <c r="G3" s="163" t="s">
        <v>2063</v>
      </c>
      <c r="H3" s="23" t="s">
        <v>650</v>
      </c>
      <c r="I3" s="24" t="s">
        <v>651</v>
      </c>
      <c r="J3" s="24" t="s">
        <v>2062</v>
      </c>
    </row>
    <row r="4" spans="1:10" ht="15.6" x14ac:dyDescent="0.25">
      <c r="A4" s="25"/>
      <c r="B4" s="26" t="s">
        <v>1848</v>
      </c>
      <c r="C4" s="27">
        <f t="shared" ref="C4:C13" si="0">SUM(D4:F4)</f>
        <v>128</v>
      </c>
      <c r="D4" s="27">
        <f>COUNTIF(DiagnosticSessionControl_0x10!L6:L533,"Pass")</f>
        <v>84</v>
      </c>
      <c r="E4" s="27">
        <f>COUNTIF(DiagnosticSessionControl_0x10!L6:L533,"Fail")</f>
        <v>12</v>
      </c>
      <c r="F4" s="27">
        <f>COUNTIF(DiagnosticSessionControl_0x10!L6:L533,"Block")</f>
        <v>32</v>
      </c>
      <c r="G4" s="29">
        <f t="shared" ref="G4:G12" si="1">D4/C4</f>
        <v>0.65625</v>
      </c>
      <c r="H4" s="29">
        <f t="shared" ref="H4:H12" si="2">E4/C4</f>
        <v>9.375E-2</v>
      </c>
      <c r="I4" s="47">
        <f t="shared" ref="I4:J12" si="3">F4/C4</f>
        <v>0.25</v>
      </c>
      <c r="J4" s="47">
        <f>1-I4</f>
        <v>0.75</v>
      </c>
    </row>
    <row r="5" spans="1:10" ht="15.6" x14ac:dyDescent="0.25">
      <c r="A5" s="25"/>
      <c r="B5" s="26" t="s">
        <v>652</v>
      </c>
      <c r="C5" s="27">
        <f t="shared" si="0"/>
        <v>48</v>
      </c>
      <c r="D5" s="27">
        <f>COUNTIF(ECUReset_0x11!L6:L740,"Pass")</f>
        <v>38</v>
      </c>
      <c r="E5" s="27">
        <f>COUNTIF(ECUReset_0x11!L6:L740,"Fail")</f>
        <v>10</v>
      </c>
      <c r="F5" s="27">
        <f>COUNTIF(ECUReset_0x11!L6:L740,"Block")</f>
        <v>0</v>
      </c>
      <c r="G5" s="29">
        <f t="shared" si="1"/>
        <v>0.79166666666666663</v>
      </c>
      <c r="H5" s="29">
        <f t="shared" si="2"/>
        <v>0.20833333333333334</v>
      </c>
      <c r="I5" s="47">
        <f t="shared" si="3"/>
        <v>0</v>
      </c>
      <c r="J5" s="47">
        <f t="shared" ref="J5:J15" si="4">1-I5</f>
        <v>1</v>
      </c>
    </row>
    <row r="6" spans="1:10" ht="15.6" x14ac:dyDescent="0.25">
      <c r="A6" s="25"/>
      <c r="B6" s="26" t="s">
        <v>653</v>
      </c>
      <c r="C6" s="27">
        <f t="shared" si="0"/>
        <v>31</v>
      </c>
      <c r="D6" s="27">
        <f>COUNTIF(ClearDiagnosticInformation_0x14!L6:L740,"Pass")</f>
        <v>0</v>
      </c>
      <c r="E6" s="27">
        <f>COUNTIF(ClearDiagnosticInformation_0x14!L6:L740,"Fail")</f>
        <v>31</v>
      </c>
      <c r="F6" s="27">
        <f>COUNTIF(ClearDiagnosticInformation_0x14!L6:L740,"Block")</f>
        <v>0</v>
      </c>
      <c r="G6" s="29">
        <f t="shared" si="1"/>
        <v>0</v>
      </c>
      <c r="H6" s="29">
        <f t="shared" si="2"/>
        <v>1</v>
      </c>
      <c r="I6" s="47">
        <f t="shared" si="3"/>
        <v>0</v>
      </c>
      <c r="J6" s="47">
        <f t="shared" si="4"/>
        <v>1</v>
      </c>
    </row>
    <row r="7" spans="1:10" ht="15.6" x14ac:dyDescent="0.25">
      <c r="A7" s="25"/>
      <c r="B7" s="26" t="s">
        <v>654</v>
      </c>
      <c r="C7" s="27">
        <f t="shared" si="0"/>
        <v>3</v>
      </c>
      <c r="D7" s="27">
        <f>COUNTIF(ReadDTCInformation_0x19!L6:L739,"Pass")</f>
        <v>0</v>
      </c>
      <c r="E7" s="27">
        <f>COUNTIF(ReadDTCInformation_0x19!L6:L739,"Fail")</f>
        <v>0</v>
      </c>
      <c r="F7" s="27">
        <f>COUNTIF(ReadDTCInformation_0x19!L4:L739,"Block")</f>
        <v>3</v>
      </c>
      <c r="G7" s="29">
        <f t="shared" si="1"/>
        <v>0</v>
      </c>
      <c r="H7" s="29">
        <f t="shared" si="2"/>
        <v>0</v>
      </c>
      <c r="I7" s="47">
        <f t="shared" si="3"/>
        <v>1</v>
      </c>
      <c r="J7" s="47">
        <f t="shared" si="4"/>
        <v>0</v>
      </c>
    </row>
    <row r="8" spans="1:10" ht="15.6" x14ac:dyDescent="0.25">
      <c r="A8" s="25"/>
      <c r="B8" s="26" t="s">
        <v>655</v>
      </c>
      <c r="C8" s="27">
        <f t="shared" si="0"/>
        <v>104</v>
      </c>
      <c r="D8" s="27">
        <f>COUNTIF(ReadDataByIdentifier_0x22!L6:L749,"Pass")</f>
        <v>0</v>
      </c>
      <c r="E8" s="27">
        <f>COUNTIF(ReadDataByIdentifier_0x22!L6:L749,"Fail")</f>
        <v>104</v>
      </c>
      <c r="F8" s="27">
        <f>COUNTIF(ReadDataByIdentifier_0x22!L6:L749,"Block")</f>
        <v>0</v>
      </c>
      <c r="G8" s="29">
        <f t="shared" si="1"/>
        <v>0</v>
      </c>
      <c r="H8" s="29">
        <f t="shared" si="2"/>
        <v>1</v>
      </c>
      <c r="I8" s="47">
        <f t="shared" si="3"/>
        <v>0</v>
      </c>
      <c r="J8" s="47">
        <f t="shared" si="4"/>
        <v>1</v>
      </c>
    </row>
    <row r="9" spans="1:10" ht="15.6" x14ac:dyDescent="0.25">
      <c r="A9" s="25"/>
      <c r="B9" s="26" t="s">
        <v>656</v>
      </c>
      <c r="C9" s="27">
        <f t="shared" si="0"/>
        <v>81</v>
      </c>
      <c r="D9" s="27">
        <f>COUNTIF(SecurityAccess_0x27!L6:L744,"Pass")</f>
        <v>0</v>
      </c>
      <c r="E9" s="27">
        <f>COUNTIF(SecurityAccess_0x27!L6:L744,"Fail")</f>
        <v>81</v>
      </c>
      <c r="F9" s="27">
        <f>COUNTIF(SecurityAccess_0x27!L6:L744,"Block")</f>
        <v>0</v>
      </c>
      <c r="G9" s="29">
        <f t="shared" si="1"/>
        <v>0</v>
      </c>
      <c r="H9" s="29">
        <f t="shared" si="2"/>
        <v>1</v>
      </c>
      <c r="I9" s="47">
        <f t="shared" si="3"/>
        <v>0</v>
      </c>
      <c r="J9" s="47">
        <f t="shared" si="4"/>
        <v>1</v>
      </c>
    </row>
    <row r="10" spans="1:10" ht="15.6" x14ac:dyDescent="0.25">
      <c r="A10" s="25"/>
      <c r="B10" s="26" t="s">
        <v>657</v>
      </c>
      <c r="C10" s="27">
        <f t="shared" si="0"/>
        <v>81</v>
      </c>
      <c r="D10" s="27">
        <f>COUNTIF(CommunicationControl_0x28!L6:L745,"Pass")</f>
        <v>81</v>
      </c>
      <c r="E10" s="27">
        <f>COUNTIF(CommunicationControl_0x28!L6:L745,"Fail")</f>
        <v>0</v>
      </c>
      <c r="F10" s="27">
        <f>COUNTIF(CommunicationControl_0x28!L6:L745,"Block")</f>
        <v>0</v>
      </c>
      <c r="G10" s="29">
        <f t="shared" si="1"/>
        <v>1</v>
      </c>
      <c r="H10" s="29">
        <f t="shared" si="2"/>
        <v>0</v>
      </c>
      <c r="I10" s="47">
        <f t="shared" si="3"/>
        <v>0</v>
      </c>
      <c r="J10" s="47">
        <f t="shared" si="4"/>
        <v>1</v>
      </c>
    </row>
    <row r="11" spans="1:10" ht="15.6" x14ac:dyDescent="0.25">
      <c r="A11" s="25"/>
      <c r="B11" s="26" t="s">
        <v>658</v>
      </c>
      <c r="C11" s="27">
        <f t="shared" si="0"/>
        <v>3</v>
      </c>
      <c r="D11" s="27">
        <f>COUNTIF(WriteDataByIdentifier_0x2e!L6:L716,"Pass")</f>
        <v>3</v>
      </c>
      <c r="E11" s="27">
        <f>COUNTIF(WriteDataByIdentifier_0x2e!L35:L716,"Fail")</f>
        <v>0</v>
      </c>
      <c r="F11" s="27">
        <f>COUNTIF(WriteDataByIdentifier_0x2e!L6:L716,"Block")</f>
        <v>0</v>
      </c>
      <c r="G11" s="29">
        <f t="shared" si="1"/>
        <v>1</v>
      </c>
      <c r="H11" s="29">
        <f t="shared" si="2"/>
        <v>0</v>
      </c>
      <c r="I11" s="47">
        <f t="shared" si="3"/>
        <v>0</v>
      </c>
      <c r="J11" s="47">
        <f t="shared" si="4"/>
        <v>1</v>
      </c>
    </row>
    <row r="12" spans="1:10" ht="15.6" x14ac:dyDescent="0.25">
      <c r="A12" s="25"/>
      <c r="B12" s="26" t="s">
        <v>659</v>
      </c>
      <c r="C12" s="27">
        <f t="shared" si="0"/>
        <v>26</v>
      </c>
      <c r="D12" s="27">
        <f>COUNTIF(RoutineControl_0x31!L6:L747,"Pass")</f>
        <v>0</v>
      </c>
      <c r="E12" s="27">
        <f>COUNTIF(RoutineControl_0x31!L6:L747,"Fail")</f>
        <v>26</v>
      </c>
      <c r="F12" s="27">
        <f>COUNTIF(RoutineControl_0x31!L6:L747,"Block")</f>
        <v>0</v>
      </c>
      <c r="G12" s="29">
        <f t="shared" si="1"/>
        <v>0</v>
      </c>
      <c r="H12" s="29">
        <f t="shared" si="2"/>
        <v>1</v>
      </c>
      <c r="I12" s="47">
        <f t="shared" si="3"/>
        <v>0</v>
      </c>
      <c r="J12" s="47">
        <f t="shared" si="4"/>
        <v>1</v>
      </c>
    </row>
    <row r="13" spans="1:10" ht="15.6" x14ac:dyDescent="0.25">
      <c r="A13" s="25"/>
      <c r="B13" s="26" t="s">
        <v>660</v>
      </c>
      <c r="C13" s="27">
        <f t="shared" si="0"/>
        <v>84</v>
      </c>
      <c r="D13" s="27">
        <f>COUNTIF(TesterPresent_0x3e!L6:L699,"Pass")</f>
        <v>70</v>
      </c>
      <c r="E13" s="27">
        <f>COUNTIF(TesterPresent_0x3e!L6:L699,"Fail")</f>
        <v>6</v>
      </c>
      <c r="F13" s="27">
        <f>COUNTIF(TesterPresent_0x3e!L6:L699,"Block")</f>
        <v>8</v>
      </c>
      <c r="G13" s="29">
        <f>D13/C13</f>
        <v>0.83333333333333337</v>
      </c>
      <c r="H13" s="29">
        <f>E13/C13</f>
        <v>7.1428571428571425E-2</v>
      </c>
      <c r="I13" s="47">
        <f>F13/C13</f>
        <v>9.5238095238095233E-2</v>
      </c>
      <c r="J13" s="47">
        <f t="shared" si="4"/>
        <v>0.90476190476190477</v>
      </c>
    </row>
    <row r="14" spans="1:10" ht="15.6" x14ac:dyDescent="0.25">
      <c r="A14" s="25"/>
      <c r="B14" s="26" t="s">
        <v>661</v>
      </c>
      <c r="C14" s="27">
        <f>SUM(D14:F14)</f>
        <v>80</v>
      </c>
      <c r="D14" s="27">
        <f>COUNTIF(ControlDTCSettings_0x85!L6:L752,"Pass")</f>
        <v>55</v>
      </c>
      <c r="E14" s="27">
        <f>COUNTIF(ControlDTCSettings_0x85!L6:L752,"Fail")</f>
        <v>17</v>
      </c>
      <c r="F14" s="27">
        <f>COUNTIF(ControlDTCSettings_0x85!L6:L752,"Block")</f>
        <v>8</v>
      </c>
      <c r="G14" s="29">
        <f>D14/C14</f>
        <v>0.6875</v>
      </c>
      <c r="H14" s="29">
        <f>E14/C14</f>
        <v>0.21249999999999999</v>
      </c>
      <c r="I14" s="47">
        <f>F14/C14</f>
        <v>0.1</v>
      </c>
      <c r="J14" s="47">
        <f t="shared" si="4"/>
        <v>0.9</v>
      </c>
    </row>
    <row r="15" spans="1:10" ht="15.6" x14ac:dyDescent="0.25">
      <c r="A15" s="25"/>
      <c r="B15" s="30" t="s">
        <v>662</v>
      </c>
      <c r="C15" s="27">
        <f>SUM(C4:C14)</f>
        <v>669</v>
      </c>
      <c r="D15" s="27">
        <f>SUM(D4:D14)</f>
        <v>331</v>
      </c>
      <c r="E15" s="27">
        <f>SUM(E4:E14)</f>
        <v>287</v>
      </c>
      <c r="F15" s="28">
        <v>22</v>
      </c>
      <c r="G15" s="29">
        <f>D15/C15</f>
        <v>0.49476831091180867</v>
      </c>
      <c r="H15" s="29">
        <f>E15/C15</f>
        <v>0.42899850523168909</v>
      </c>
      <c r="I15" s="47">
        <f>F15/C15</f>
        <v>3.2884902840059793E-2</v>
      </c>
      <c r="J15" s="47">
        <f t="shared" si="4"/>
        <v>0.96711509715994026</v>
      </c>
    </row>
    <row r="16" spans="1:10" ht="15.6" x14ac:dyDescent="0.25">
      <c r="A16" s="25"/>
      <c r="B16" s="31"/>
      <c r="C16" s="32"/>
      <c r="D16" s="32"/>
      <c r="E16" s="32"/>
      <c r="F16" s="32"/>
      <c r="G16" s="32"/>
      <c r="H16" s="32"/>
      <c r="I16" s="33"/>
      <c r="J16" s="16"/>
    </row>
    <row r="17" spans="1:10" ht="15.6" x14ac:dyDescent="0.25">
      <c r="A17" s="25"/>
      <c r="B17" s="34" t="s">
        <v>663</v>
      </c>
      <c r="C17" s="35"/>
      <c r="D17" s="32"/>
      <c r="E17" s="48"/>
      <c r="F17" s="48"/>
      <c r="G17" s="48"/>
      <c r="H17" s="32"/>
      <c r="I17" s="33"/>
      <c r="J17" s="16"/>
    </row>
    <row r="18" spans="1:10" ht="15.6" x14ac:dyDescent="0.25">
      <c r="A18" s="25"/>
      <c r="B18" s="34" t="s">
        <v>664</v>
      </c>
      <c r="C18" s="36"/>
      <c r="D18" s="32"/>
      <c r="E18" s="48"/>
      <c r="F18" s="48" t="s">
        <v>674</v>
      </c>
      <c r="G18" s="48"/>
      <c r="H18" s="32"/>
      <c r="I18" s="33"/>
      <c r="J18" s="16"/>
    </row>
    <row r="19" spans="1:10" ht="15.6" x14ac:dyDescent="0.25">
      <c r="A19" s="25"/>
      <c r="B19" s="34" t="s">
        <v>665</v>
      </c>
      <c r="C19" s="37"/>
      <c r="D19" s="32"/>
      <c r="E19" s="48"/>
      <c r="F19" s="48" t="s">
        <v>675</v>
      </c>
      <c r="G19" s="48"/>
      <c r="H19" s="32"/>
      <c r="I19" s="33"/>
      <c r="J19" s="16"/>
    </row>
    <row r="20" spans="1:10" ht="15.6" x14ac:dyDescent="0.25">
      <c r="A20" s="25"/>
      <c r="B20" s="34" t="s">
        <v>666</v>
      </c>
      <c r="C20" s="38"/>
      <c r="D20" s="32"/>
      <c r="E20" s="48"/>
      <c r="F20" s="48" t="s">
        <v>676</v>
      </c>
      <c r="G20" s="48"/>
      <c r="H20" s="32"/>
      <c r="I20" s="33"/>
      <c r="J20" s="16"/>
    </row>
    <row r="21" spans="1:10" ht="15.6" x14ac:dyDescent="0.25">
      <c r="A21" s="25"/>
      <c r="B21" s="39"/>
      <c r="I21" s="41"/>
      <c r="J21" s="16"/>
    </row>
    <row r="22" spans="1:10" ht="15.6" x14ac:dyDescent="0.25">
      <c r="A22" s="25"/>
      <c r="B22" s="30" t="s">
        <v>667</v>
      </c>
      <c r="C22" s="155" t="s">
        <v>668</v>
      </c>
      <c r="D22" s="156"/>
      <c r="E22" s="32"/>
      <c r="F22" s="32"/>
      <c r="G22" s="32"/>
      <c r="H22" s="32"/>
      <c r="I22" s="41"/>
      <c r="J22" s="16"/>
    </row>
    <row r="23" spans="1:10" ht="15.6" x14ac:dyDescent="0.25">
      <c r="A23" s="25"/>
      <c r="B23" s="42"/>
      <c r="C23" s="32"/>
      <c r="D23" s="32"/>
      <c r="E23" s="32"/>
      <c r="F23" s="32"/>
      <c r="G23" s="32"/>
      <c r="H23" s="32"/>
      <c r="I23" s="41"/>
      <c r="J23" s="16"/>
    </row>
    <row r="24" spans="1:10" ht="15.6" x14ac:dyDescent="0.25">
      <c r="A24" s="25"/>
      <c r="B24" s="157" t="s">
        <v>669</v>
      </c>
      <c r="C24" s="157"/>
      <c r="D24" s="158"/>
      <c r="E24" s="158"/>
      <c r="F24" s="158"/>
      <c r="G24" s="158"/>
      <c r="H24" s="158"/>
      <c r="I24" s="41"/>
      <c r="J24" s="16"/>
    </row>
    <row r="25" spans="1:10" ht="15.6" x14ac:dyDescent="0.25">
      <c r="A25" s="25"/>
      <c r="B25" s="158"/>
      <c r="C25" s="158"/>
      <c r="D25" s="158"/>
      <c r="E25" s="158"/>
      <c r="F25" s="158"/>
      <c r="G25" s="158"/>
      <c r="H25" s="158"/>
      <c r="I25" s="41"/>
      <c r="J25" s="16"/>
    </row>
    <row r="26" spans="1:10" ht="15.6" x14ac:dyDescent="0.25">
      <c r="A26" s="43"/>
      <c r="B26" s="159"/>
      <c r="C26" s="159"/>
      <c r="D26" s="159"/>
      <c r="E26" s="159"/>
      <c r="F26" s="159"/>
      <c r="G26" s="159"/>
      <c r="H26" s="159"/>
      <c r="I26" s="44"/>
      <c r="J26" s="45"/>
    </row>
  </sheetData>
  <mergeCells count="3">
    <mergeCell ref="B2:I2"/>
    <mergeCell ref="C22:D22"/>
    <mergeCell ref="B24:H26"/>
  </mergeCells>
  <phoneticPr fontId="4" type="noConversion"/>
  <conditionalFormatting sqref="C22:D22">
    <cfRule type="cellIs" dxfId="1" priority="1" operator="equal">
      <formula>"不通过"</formula>
    </cfRule>
  </conditionalFormatting>
  <dataValidations count="1">
    <dataValidation type="list" allowBlank="1" showInputMessage="1" showErrorMessage="1" sqref="C22:D22">
      <formula1>"Pass,No Pass,Conditional Pass"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DiagnosticSessionControl_0x10</vt:lpstr>
      <vt:lpstr>ECUReset_0x11</vt:lpstr>
      <vt:lpstr>ClearDiagnosticInformation_0x14</vt:lpstr>
      <vt:lpstr>ClearDiagnosticIn_0x14_confirm</vt:lpstr>
      <vt:lpstr>ReadDTCInformation_0x19</vt:lpstr>
      <vt:lpstr>ReadDataByIdentifier_0x22</vt:lpstr>
      <vt:lpstr>SecurityAccess_0x27</vt:lpstr>
      <vt:lpstr>SecurityAccess_0x27_Confirm</vt:lpstr>
      <vt:lpstr>CommunicationControl_0x28</vt:lpstr>
      <vt:lpstr>WriteDataByIdentifier_0x2e</vt:lpstr>
      <vt:lpstr>RoutineControl_0x31</vt:lpstr>
      <vt:lpstr>RoutineControl_0x31_confirm</vt:lpstr>
      <vt:lpstr>TesterPresent_0x3e</vt:lpstr>
      <vt:lpstr>ControlDTCSettings_0x85</vt:lpstr>
      <vt:lpstr>测试汇总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2026-05-25T03:26:36Z</dcterms:created>
  <dcterms:modified xsi:type="dcterms:W3CDTF">2026-05-29T04:21:55Z</dcterms:modified>
</cp:coreProperties>
</file>
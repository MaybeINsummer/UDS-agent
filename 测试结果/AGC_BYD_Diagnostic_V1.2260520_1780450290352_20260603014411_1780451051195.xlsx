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3040" windowHeight="9144" activeTab="3"/>
  </bookViews>
  <sheets>
    <sheet name="DiagnosticSessionControl_0x10" sheetId="1" r:id="rId1"/>
    <sheet name="ECUReset_0x11" sheetId="2" r:id="rId2"/>
    <sheet name="ClearDiagnosticInformation_0x14" sheetId="3" r:id="rId3"/>
    <sheet name="SecurityAccess_0x27" sheetId="4" r:id="rId4"/>
    <sheet name="测试汇总" sheetId="5" r:id="rId5"/>
  </sheets>
  <calcPr calcId="162913"/>
</workbook>
</file>

<file path=xl/calcChain.xml><?xml version="1.0" encoding="utf-8"?>
<calcChain xmlns="http://schemas.openxmlformats.org/spreadsheetml/2006/main">
  <c r="F9" i="5" l="1"/>
  <c r="E9" i="5"/>
  <c r="D9" i="5"/>
  <c r="E6" i="5"/>
  <c r="D6" i="5"/>
  <c r="F5" i="5"/>
  <c r="F6" i="5"/>
  <c r="E5" i="5"/>
  <c r="D5" i="5"/>
  <c r="F4" i="5"/>
  <c r="E4" i="5"/>
  <c r="D4" i="5"/>
  <c r="E15" i="5" l="1"/>
  <c r="D15" i="5"/>
  <c r="C9" i="5"/>
  <c r="G9" i="5" s="1"/>
  <c r="C4" i="5"/>
  <c r="G4" i="5" s="1"/>
  <c r="C6" i="5"/>
  <c r="G6" i="5" s="1"/>
  <c r="C5" i="5"/>
  <c r="H5" i="5" s="1"/>
  <c r="H9" i="5" l="1"/>
  <c r="G5" i="5"/>
  <c r="I4" i="5"/>
  <c r="J4" i="5" s="1"/>
  <c r="I5" i="5"/>
  <c r="J5" i="5" s="1"/>
  <c r="H6" i="5"/>
  <c r="I6" i="5"/>
  <c r="J6" i="5" s="1"/>
  <c r="C15" i="5"/>
  <c r="I9" i="5"/>
  <c r="J9" i="5" s="1"/>
  <c r="H4" i="5"/>
  <c r="I15" i="5" l="1"/>
  <c r="J15" i="5" s="1"/>
  <c r="H15" i="5"/>
  <c r="G15" i="5"/>
</calcChain>
</file>

<file path=xl/sharedStrings.xml><?xml version="1.0" encoding="utf-8"?>
<sst xmlns="http://schemas.openxmlformats.org/spreadsheetml/2006/main" count="2842" uniqueCount="837">
  <si>
    <t>Test Level</t>
  </si>
  <si>
    <t>SYS.5</t>
  </si>
  <si>
    <t>Sequence Number</t>
  </si>
  <si>
    <t>System Requirement ID</t>
  </si>
  <si>
    <t>Test Case</t>
  </si>
  <si>
    <t>Design Method</t>
  </si>
  <si>
    <t>Precondition</t>
  </si>
  <si>
    <t>Test Procedure</t>
  </si>
  <si>
    <t>Expected Output</t>
  </si>
  <si>
    <t>Actual Output</t>
  </si>
  <si>
    <t>Judgement Result</t>
  </si>
  <si>
    <t>Defect ID</t>
  </si>
  <si>
    <t>ID</t>
  </si>
  <si>
    <t>Name</t>
  </si>
  <si>
    <t>Priority</t>
  </si>
  <si>
    <t>Author</t>
  </si>
  <si>
    <t>1.Application Service_Physical Addressing</t>
  </si>
  <si>
    <t>1.1 Session Layer Test</t>
  </si>
  <si>
    <t>1.General
2.DiagnosticServices</t>
  </si>
  <si>
    <t>Diag_0x10_Phy_001</t>
  </si>
  <si>
    <t>Service 0x10 Default To Default</t>
  </si>
  <si>
    <t>High</t>
  </si>
  <si>
    <t>陈亚-80025578</t>
  </si>
  <si>
    <t>Based on analysis of requirements</t>
  </si>
  <si>
    <t>1.Power On;</t>
  </si>
  <si>
    <t>1.Send DiagBy[Physical]Data[10 01];
2.Send DiagBy[Physical]Data[10 01];</t>
  </si>
  <si>
    <t>1.Check DiagData[50 01 00 32 00 C8]Within[50]ms;
2.Check DiagData[50 01 00 32 00 C8]Within[50]ms;</t>
  </si>
  <si>
    <t>Diag_0x10_Phy_002</t>
  </si>
  <si>
    <t>Service 0x10 Default To Programming</t>
  </si>
  <si>
    <t>1.Send DiagBy[Physical]Data[10 01];
2.Send DiagBy[Physical]Data[10 02];</t>
  </si>
  <si>
    <t>1.Check DiagData[50 01 00 32 00 C8]Within[50]ms;
2.Check DiagData[7F 10 22]Within[50]ms;</t>
  </si>
  <si>
    <t>Diag_0x10_Phy_003</t>
  </si>
  <si>
    <t>Service 0x10 Default To Extended</t>
  </si>
  <si>
    <t>1.Send DiagBy[Physical]Data[10 01];
2.Send DiagBy[Physical]Data[10 03];</t>
  </si>
  <si>
    <t>1.Check DiagData[50 01 00 32 00 C8]Within[50]ms;
2.Check DiagData[50 03 00 32 00 C8]Within[50]ms;</t>
  </si>
  <si>
    <t>Diag_0x10_Phy_004</t>
  </si>
  <si>
    <t>Service 0x10 Extended To Default</t>
  </si>
  <si>
    <t>1.Send DiagBy[Physical]Data[10 01];
2.Delay[1000]ms;
3.Send DiagBy[Physical]Data[10 03];
4.Send DiagBy[Physical]Data[10 01];</t>
  </si>
  <si>
    <t>1.Check DiagData[50 01 00 32 00 C8]Within[50]ms;
3.Check DiagData[50 03 00 32 00 C8]Within[50]ms;
4.Check DiagData[50 01 00 32 00 C8]Within[50]ms;</t>
  </si>
  <si>
    <t>Diag_0x10_Phy_005</t>
  </si>
  <si>
    <t>Service 0x10 Extended To Programming</t>
  </si>
  <si>
    <t>1.Send DiagBy[Physical]Data[10 01];
2.Delay[1000]ms;
3.Send DiagBy[Physical]Data[10 03];
4.Send DiagBy[Physical]Data[10 02];</t>
  </si>
  <si>
    <t>1.Check DiagData[50 01 00 32 00 C8]Within[50]ms;
3.Check DiagData[50 03 00 32 00 C8]Within[50]ms;
4.Check DiagData[50 02 00 32 00 C8]Within[50]ms;</t>
  </si>
  <si>
    <t>Diag_0x10_Phy_006</t>
  </si>
  <si>
    <t>Service 0x10 Extended To Extended</t>
  </si>
  <si>
    <t>1.Send DiagBy[Physical]Data[10 01];
2.Delay[1000]ms;
3.Send DiagBy[Physical]Data[10 03];
4.Send DiagBy[Physical]Data[10 03];</t>
  </si>
  <si>
    <t>1.Check DiagData[50 01 00 32 00 C8]Within[50]ms;
3.Check DiagData[50 03 00 32 00 C8]Within[50]ms;
4.Check DiagData[50 03 00 32 00 C8]Within[50]ms;</t>
  </si>
  <si>
    <t>Diag_0x10_Phy_007</t>
  </si>
  <si>
    <t>Service 0x10 Programming To Default</t>
  </si>
  <si>
    <t>1.Send DiagBy[Physical]Data[10 01];
2.Delay[1000]ms;
3.Send DiagBy[Physical]Data[10 03];
4.Send DiagBy[Physical]Data[10 02];
5.Send DiagBy[Physical]Data[10 01];</t>
  </si>
  <si>
    <t>1.Check DiagData[50 01 00 32 00 C8]Within[50]ms;
3.Check DiagData[50 03 00 32 00 C8]Within[50]ms;
4.Check DiagData[50 02 00 32 00 C8]Within[50]ms;
5.Check DiagData[50 01 00 32 00 C8]Within[50]ms;</t>
  </si>
  <si>
    <t>Diag_0x10_Phy_008</t>
  </si>
  <si>
    <t>Service 0x10 Programming To Programming</t>
  </si>
  <si>
    <t>1.Send DiagBy[Physical]Data[10 01];
2.Delay[1000]ms;
3.Send DiagBy[Physical]Data[10 03];
4.Send DiagBy[Physical]Data[10 02];
5.Send DiagBy[Physical]Data[10 02];</t>
  </si>
  <si>
    <t>1.Check DiagData[50 01 00 32 00 C8]Within[50]ms;
3.Check DiagData[50 03 00 32 00 C8]Within[50]ms;
4.Check DiagData[50 02 00 32 00 C8]Within[50]ms;
5.Check DiagData[50 02 00 32 00 C8]Within[50]ms;</t>
  </si>
  <si>
    <t>Diag_0x10_Phy_009</t>
  </si>
  <si>
    <t>Service 0x10 Programming To Extended</t>
  </si>
  <si>
    <t>1.Send DiagBy[Physical]Data[10 01];
2.Delay[1000]ms;
3.Send DiagBy[Physical]Data[10 03];
4.Send DiagBy[Physical]Data[10 02];
5.Send DiagBy[Physical]Data[10 03];</t>
  </si>
  <si>
    <t>1.Check DiagData[50 01 00 32 00 C8]Within[50]ms;
3.Check DiagData[50 03 00 32 00 C8]Within[50]ms;
4.Check DiagData[50 02 00 32 00 C8]Within[50]ms;
5.Check DiagData[50 03 00 32 00 C8]Within[50]ms;</t>
  </si>
  <si>
    <t>1.2 SPRMIB Test</t>
  </si>
  <si>
    <t>Diag_0x10_Phy_010</t>
  </si>
  <si>
    <t>Service 0x10 Default To Default with SPRMIB</t>
  </si>
  <si>
    <t>1.Send DiagBy[Physical]Data[10 01];
2.Send DiagBy[Physical]Data[10 81];</t>
  </si>
  <si>
    <t>1.Check DiagData[50 01 00 32 00 C8]Within[50]ms;
2.Check No_Response Within[1000]ms;</t>
  </si>
  <si>
    <t>Diag_0x10_Phy_011</t>
  </si>
  <si>
    <t>Service 0x10 Default To Programming with SPRMIB</t>
  </si>
  <si>
    <t>Diag_0x10_Phy_012</t>
  </si>
  <si>
    <t>Service 0x10 Default To Extended with SPRMIB</t>
  </si>
  <si>
    <t>1.Send DiagBy[Physical]Data[10 01];
2.Send DiagBy[Physical]Data[10 83];</t>
  </si>
  <si>
    <t>Diag_0x10_Phy_013</t>
  </si>
  <si>
    <t>Service 0x10 Extended To Default with SPRMIB</t>
  </si>
  <si>
    <t>1.Send DiagBy[Physical]Data[10 01];
2.Delay[1000]ms;
3.Send DiagBy[Physical]Data[10 03];
4.Send DiagBy[Physical]Data[10 81];</t>
  </si>
  <si>
    <t>1.Check DiagData[50 01 00 32 00 C8]Within[50]ms;
3.Check DiagData[50 03 00 32 00 C8]Within[50]ms;
4.Check No_Response Within[1000]ms;</t>
  </si>
  <si>
    <t>Diag_0x10_Phy_014</t>
  </si>
  <si>
    <t>Service 0x10 Extended To Programming with SPRMIB</t>
  </si>
  <si>
    <t>1.Send DiagBy[Physical]Data[10 01];
2.Delay[1000]ms;
3.Send DiagBy[Physical]Data[10 03];
4.Send DiagBy[Physical]Data[10 82];</t>
  </si>
  <si>
    <t>Diag_0x10_Phy_015</t>
  </si>
  <si>
    <t>Service 0x10 Extended To Extended with SPRMIB</t>
  </si>
  <si>
    <t>1.Send DiagBy[Physical]Data[10 01];
2.Delay[1000]ms;
3.Send DiagBy[Physical]Data[10 03];
4.Send DiagBy[Physical]Data[10 83];</t>
  </si>
  <si>
    <t>Diag_0x10_Phy_016</t>
  </si>
  <si>
    <t>Service 0x10 Programming To Default with SPRMIB</t>
  </si>
  <si>
    <t>1.Send DiagBy[Physical]Data[10 01];
2.Delay[1000]ms;
3.Send DiagBy[Physical]Data[10 03];
4.Send DiagBy[Physical]Data[10 02];
5.Send DiagBy[Physical]Data[10 81];</t>
  </si>
  <si>
    <t>1.Check DiagData[50 01 00 32 00 C8]Within[50]ms;
3.Check DiagData[50 03 00 32 00 C8]Within[50]ms;
4.Check DiagData[50 02 00 32 00 C8]Within[50]ms;
5.Check No_Response Within[1000]ms;</t>
  </si>
  <si>
    <t>Diag_0x10_Phy_017</t>
  </si>
  <si>
    <t>Service 0x10 Programming To Programming with SPRMIB</t>
  </si>
  <si>
    <t>1.Send DiagBy[Physical]Data[10 01];
2.Delay[1000]ms;
3.Send DiagBy[Physical]Data[10 03];
4.Send DiagBy[Physical]Data[10 02];
5.Send DiagBy[Physical]Data[10 82];</t>
  </si>
  <si>
    <t>Diag_0x10_Phy_018</t>
  </si>
  <si>
    <t>Service 0x10 Programming To Extended with SPRMIB</t>
  </si>
  <si>
    <t>1.Send DiagBy[Physical]Data[10 01];
2.Delay[1000]ms;
3.Send DiagBy[Physical]Data[10 03];
4.Send DiagBy[Physical]Data[10 02];
5.Send DiagBy[Physical]Data[10 83];</t>
  </si>
  <si>
    <t>1.3 Secure Access Test</t>
  </si>
  <si>
    <t>Diag_0x10_Phy_019</t>
  </si>
  <si>
    <t>Security access L1 unlock supports jumping to Programming Session</t>
  </si>
  <si>
    <t>1.Send DiagBy[Physical]Data[10 01];
2.Delay[1000]ms;
3.Send DiagBy[Physical]Data[10 03];
4.Send DiagBy[Physical]Data[27 01]AndCheckResp[PositiveResponse];
5.Send Security Right KeyBy[Physical]Level[02];
6.Send DiagBy[Physical]Data[10 02];</t>
  </si>
  <si>
    <t>1.Check DiagData[50 01 00 32 00 C8]Within[50]ms;
3.Check DiagData[50 03 00 32 00 C8]Within[50]ms;
5.Check DiagData[67 02]Within[50]ms;
6.Check DiagData[50 02 00 32 00 C8]Within[50]ms;</t>
  </si>
  <si>
    <t>1.4 ECU Reset Test</t>
  </si>
  <si>
    <t>Diag_0x10_Phy_020</t>
  </si>
  <si>
    <t>ECU Power reset Session returns to the Default Session</t>
  </si>
  <si>
    <t>Low</t>
  </si>
  <si>
    <t>1.Send DiagBy[Physical]Data[10 01];
2.Delay[1000]ms;
3.Send DiagBy[Physical]Data[10 03];
4.Set Voltage[0]V;
5.Delay[3000]ms;
6.Set Voltage[12]V;
7.Delay[3000]ms;
8.Send DiagBy[Physical]Data[27 01];</t>
  </si>
  <si>
    <t>1.Check DiagData[50 01 00 32 00 C8]Within[50]ms;
3.Check DiagData[50 03 00 32 00 C8]Within[50]ms;
8.Check DiagData[7F 27 7F]Within[50]ms;</t>
  </si>
  <si>
    <t>Diag_0x10_Phy_021</t>
  </si>
  <si>
    <t>ECU HardReset reset Session returns to the Default Session</t>
  </si>
  <si>
    <t>1.Send DiagBy[Physical]Data[10 01];
2.Delay[1000]ms;
3.Send DiagBy[Physical]Data[10 03];
4.Send DiagBy[Physical]Data[11 01];
5.Delay[1000]ms;
6.Send DiagBy[Physical]Data[27 01];</t>
  </si>
  <si>
    <t>1.Check DiagData[50 01 00 32 00 C8]Within[50]ms;
3.Check DiagData[50 03 00 32 00 C8]Within[50]ms;
4.Check DiagData[51 01]Within[50]ms;
6.Check DiagData[7F 27 7F]Within[50]ms;</t>
  </si>
  <si>
    <t>1.5 Sub-function Traversal Test</t>
  </si>
  <si>
    <t>Diag_0x10_Phy_022</t>
  </si>
  <si>
    <t>Subfunction traversal test in the Default Session</t>
  </si>
  <si>
    <t>Medium</t>
  </si>
  <si>
    <t>1.Send DiagBy[Physical]Data[10 01];
2.Send SubTraversalBy[Physical]Service[0x10]Excluding[01 02 03 81 83]AndCheckResp[0x12];</t>
  </si>
  <si>
    <t>1.Check DiagData[50 01 00 32 00 C8]Within[50]ms;</t>
  </si>
  <si>
    <t>Diag_0x10_Phy_023</t>
  </si>
  <si>
    <t>Subfunction traversal test in the Extended Session</t>
  </si>
  <si>
    <t>1.Send DiagBy[Physical]Data[10 01];
2.Delay[1000]ms;
3.Send DiagBy[Physical]Data[10 03];
4.Send SubTraversalBy[Physical]Service[0x10]Excluding[01 02 03 81 83]AndCheckResp[0x12];</t>
  </si>
  <si>
    <t>1.Check DiagData[50 01 00 32 00 C8]Within[50]ms;
3.Check DiagData[50 03 00 32 00 C8]Within[50]ms;</t>
  </si>
  <si>
    <t>Diag_0x10_Phy_024</t>
  </si>
  <si>
    <t>Subfunction traversal test in the Programming Session</t>
  </si>
  <si>
    <t>1.Send DiagBy[Physical]Data[10 01];
2.Delay[1000]ms;
3.Send DiagBy[Physical]Data[10 03];
4.Send DiagBy[Physical]Data[10 02];
5.Send SubTraversalBy[Physical]Service[0x10]Excluding[01 02 03 81 83]AndCheckResp[0x12];</t>
  </si>
  <si>
    <t>1.6 S3 Server Timer Test</t>
  </si>
  <si>
    <t>Diag_0x10_Phy_025</t>
  </si>
  <si>
    <t>S3Server maintains the Session without timeout</t>
  </si>
  <si>
    <t>1.Send DiagBy[Physical]Data[10 01];
2.Delay[1000]ms;
3.Send DiagBy[Physical]Data[10 03];
4.Delay[4900]ms;
5.Send DiagBy[Physical]Data[27 01];</t>
  </si>
  <si>
    <t>1.Check DiagData[50 01 00 32 00 C8]Within[50]ms;
3.Check DiagData[50 03 00 32 00 C8]Within[50]ms;
5.Check DiagData[67 01]Within[50]ms;</t>
  </si>
  <si>
    <t>Diag_0x10_Phy_026</t>
  </si>
  <si>
    <t>S3Server returns to the default Session upon timeout</t>
  </si>
  <si>
    <t>1.Send DiagBy[Physical]Data[10 01];
2.Delay[1000]ms;
3.Send DiagBy[Physical]Data[10 03];
4.Delay[5100]ms;
5.Send DiagBy[Physical]Data[27 01];</t>
  </si>
  <si>
    <t>1.Check DiagData[50 01 00 32 00 C8]Within[50]ms;
3.Check DiagData[50 03 00 32 00 C8]Within[50]ms;
5.Check DiagData[7F 27 7F]Within[50]ms;</t>
  </si>
  <si>
    <t>1.7 Incorrect Diagnostic Command Test</t>
  </si>
  <si>
    <t>Diag_0x10_Phy_027</t>
  </si>
  <si>
    <t>Valid SF_DL=2, invalid SF_DL &gt; 2</t>
  </si>
  <si>
    <t>1.Send DiagBy[Physical]Data[10 01];
2.Send DiagBy[Physical]Data[10 01]WithLen[3];</t>
  </si>
  <si>
    <t>1.Check DiagData[50 01 00 32 00 C8]Within[50]ms;
2.Check DiagData[7F 10 13]Within[50]ms;</t>
  </si>
  <si>
    <t>Diag_0x10_Phy_028</t>
  </si>
  <si>
    <t>Valid SF_DL=2, invalid SF_DL &lt; 2</t>
  </si>
  <si>
    <t>1.Send DiagBy[Physical]Data[10 01];
2.Send DiagBy[Physical]Data[10 01]WithLen[1];</t>
  </si>
  <si>
    <t>1.8 NRC Priority Test</t>
  </si>
  <si>
    <t>Diag_0x10_Phy_029</t>
  </si>
  <si>
    <t>NRC 13(min Size) &gt; 12</t>
  </si>
  <si>
    <t>1.Send DiagBy[Physical]Data[10 01];
2.Send DiagBy[Physical]Data[10 FF]WithLen[1];</t>
  </si>
  <si>
    <t>Diag_0x10_Phy_030</t>
  </si>
  <si>
    <t>NRC 12 &gt; 7E</t>
  </si>
  <si>
    <t>1.Send DiagBy[Physical]Data[10 01];
2.Send DiagBy[Physical]Data[10 FF]WithLen[3];</t>
  </si>
  <si>
    <t>1.Check DiagData[50 01 00 32 00 C8]Within[50]ms;
2.Check DiagData[7F 10 12]Within[50]ms;</t>
  </si>
  <si>
    <t>Diag_0x10_Phy_031</t>
  </si>
  <si>
    <t>NRC 7E &gt; 22</t>
  </si>
  <si>
    <t>2.Application Service_Functional Addressing</t>
  </si>
  <si>
    <t>2.1 Session Layer Test</t>
  </si>
  <si>
    <t>Diag_0x10_Fun_001</t>
  </si>
  <si>
    <t>1.Send DiagBy[Physical]Data[10 01];
2.Send DiagBy[Function]Data[10 01];</t>
  </si>
  <si>
    <t>Diag_0x10_Fun_002</t>
  </si>
  <si>
    <t>1.Send DiagBy[Physical]Data[10 01];
2.Send DiagBy[Function]Data[10 02];</t>
  </si>
  <si>
    <t>1.Check DiagData[50 01 00 32 00 C8]Within[50]ms;
2.Check DiagData[7F 10 11]Within[50]ms;</t>
  </si>
  <si>
    <t>Diag_0x10_Fun_003</t>
  </si>
  <si>
    <t>1.Send DiagBy[Physical]Data[10 01];
2.Send DiagBy[Function]Data[10 03];</t>
  </si>
  <si>
    <t>Diag_0x10_Fun_004</t>
  </si>
  <si>
    <t>1.Send DiagBy[Physical]Data[10 01];
2.Delay[1000]ms;
3.Send DiagBy[Physical]Data[10 03];
4.Send DiagBy[Function]Data[10 01];</t>
  </si>
  <si>
    <t>Diag_0x10_Fun_005</t>
  </si>
  <si>
    <t>1.Send DiagBy[Physical]Data[10 01];
2.Delay[1000]ms;
3.Send DiagBy[Physical]Data[10 03];
4.Send DiagBy[Function]Data[10 02];</t>
  </si>
  <si>
    <t>1.Check DiagData[50 01 00 32 00 C8]Within[50]ms;
3.Check DiagData[50 03 00 32 00 C8]Within[50]ms;
4.Check DiagData[7F 10 11]Within[50]ms;</t>
  </si>
  <si>
    <t>Diag_0x10_Fun_006</t>
  </si>
  <si>
    <t>1.Send DiagBy[Physical]Data[10 01];
2.Delay[1000]ms;
3.Send DiagBy[Physical]Data[10 03];
4.Send DiagBy[Function]Data[10 03];</t>
  </si>
  <si>
    <t>Diag_0x10_Fun_007</t>
  </si>
  <si>
    <t>1.Send DiagBy[Physical]Data[10 01];
2.Delay[1000]ms;
3.Send DiagBy[Physical]Data[10 03];
4.Send DiagBy[Physical]Data[10 02];
5.Send DiagBy[Function]Data[10 01];</t>
  </si>
  <si>
    <t>Diag_0x10_Fun_008</t>
  </si>
  <si>
    <t>1.Send DiagBy[Physical]Data[10 01];
2.Delay[1000]ms;
3.Send DiagBy[Physical]Data[10 03];
4.Send DiagBy[Physical]Data[10 02];
5.Send DiagBy[Function]Data[10 02];</t>
  </si>
  <si>
    <t>1.Check DiagData[50 01 00 32 00 C8]Within[50]ms;
3.Check DiagData[50 03 00 32 00 C8]Within[50]ms;
4.Check DiagData[50 02 00 32 00 C8]Within[50]ms;
5.Check DiagData[7F 10 11]Within[50]ms;</t>
  </si>
  <si>
    <t>Diag_0x10_Fun_009</t>
  </si>
  <si>
    <t>1.Send DiagBy[Physical]Data[10 01];
2.Delay[1000]ms;
3.Send DiagBy[Physical]Data[10 03];
4.Send DiagBy[Physical]Data[10 02];
5.Send DiagBy[Function]Data[10 03];</t>
  </si>
  <si>
    <t>2.2 SPRMIB Test</t>
  </si>
  <si>
    <t>Diag_0x10_Fun_010</t>
  </si>
  <si>
    <t>1.Send DiagBy[Physical]Data[10 01];
2.Send DiagBy[Function]Data[10 81];</t>
  </si>
  <si>
    <t>Diag_0x10_Fun_011</t>
  </si>
  <si>
    <t>1.Send DiagBy[Physical]Data[10 01];
2.Send DiagBy[Function]Data[10 83];</t>
  </si>
  <si>
    <t>Diag_0x10_Fun_012</t>
  </si>
  <si>
    <t>1.Send DiagBy[Physical]Data[10 01];
2.Delay[1000]ms;
3.Send DiagBy[Physical]Data[10 03];
4.Send DiagBy[Function]Data[10 81];</t>
  </si>
  <si>
    <t>Diag_0x10_Fun_013</t>
  </si>
  <si>
    <t>1.Send DiagBy[Physical]Data[10 01];
2.Delay[1000]ms;
3.Send DiagBy[Physical]Data[10 03];
4.Send DiagBy[Function]Data[10 83];</t>
  </si>
  <si>
    <t>Diag_0x10_Fun_014</t>
  </si>
  <si>
    <t>1.Send DiagBy[Physical]Data[10 01];
2.Delay[1000]ms;
3.Send DiagBy[Physical]Data[10 03];
4.Send DiagBy[Physical]Data[10 02];
5.Send DiagBy[Function]Data[10 81];</t>
  </si>
  <si>
    <t>Diag_0x10_Fun_015</t>
  </si>
  <si>
    <t>1.Send DiagBy[Physical]Data[10 01];
2.Delay[1000]ms;
3.Send DiagBy[Physical]Data[10 03];
4.Send DiagBy[Physical]Data[10 02];
5.Send DiagBy[Function]Data[10 83];</t>
  </si>
  <si>
    <t>2.4 ECU Reset Test</t>
  </si>
  <si>
    <t>Diag_0x10_Fun_016</t>
  </si>
  <si>
    <t>1.Send DiagBy[Function]Data[10 03];
2.Delay[1000]ms;
3.Set Voltage[0]V;
4.Delay[3000]ms;
5.Set Voltage[12]V;
6.Delay[3000]ms;
7.Send DiagBy[Physical]Data[27 01];</t>
  </si>
  <si>
    <t>1.Check No_Response Within[1000]ms;
7.Check DiagData[7F 27 7F]Within[50]ms;</t>
  </si>
  <si>
    <t>Diag_0x10_Fun_017</t>
  </si>
  <si>
    <t>1.Send DiagBy[Function]Data[10 03];
2.Delay[1000]ms;
3.Send DiagBy[Physical]Data[11 01];
4.Delay[1000]ms;
5.Send DiagBy[Physical]Data[27 01];</t>
  </si>
  <si>
    <t>1.Check No_Response Within[1000]ms;
3.Check DiagData[51 01]Within[50]ms;
5.Check DiagData[7F 27 7F]Within[50]ms;</t>
  </si>
  <si>
    <t>2.5 Sub-function Traversal Test</t>
  </si>
  <si>
    <t>Diag_0x10_Fun_018</t>
  </si>
  <si>
    <t>1.Send DiagBy[Physical]Data[10 01];
2.Send SubTraversalBy[Function]Service[0x10]Excluding[01 03 81 83]AndCheckResp[NoResponse];</t>
  </si>
  <si>
    <t>Diag_0x10_Fun_019</t>
  </si>
  <si>
    <t>1.Send DiagBy[Physical]Data[10 01];
2.Delay[1000]ms;
3.Send DiagBy[Physical]Data[10 03];
4.Send SubTraversalBy[Function]Service[0x10]Excluding[01 03 81 83]AndCheckResp[NoResponse];</t>
  </si>
  <si>
    <t>Diag_0x10_Fun_020</t>
  </si>
  <si>
    <t>1.Send DiagBy[Physical]Data[10 01];
2.Delay[1000]ms;
3.Send DiagBy[Physical]Data[10 03];
4.Send DiagBy[Physical]Data[10 02];
5.Send SubTraversalBy[Function]Service[0x10]Excluding[01 03 81 83]AndCheckResp[NoResponse];</t>
  </si>
  <si>
    <t>2.6 S3 Server Timer Test</t>
  </si>
  <si>
    <t>Diag_0x10_Fun_021</t>
  </si>
  <si>
    <t>1.Send DiagBy[Physical]Data[10 01];
2.Delay[1000]ms;
3.Send DiagBy[Function]Data[10 03];
4.Delay[4900]ms;
5.Send DiagBy[Physical]Data[27 01];</t>
  </si>
  <si>
    <t>1.Check DiagData[50 01 00 32 00 C8]Within[50]ms;
3.Check No_Response Within[1000]ms;
5.Check DiagData[67 01]Within[50]ms;</t>
  </si>
  <si>
    <t>Diag_0x10_Fun_022</t>
  </si>
  <si>
    <t>1.Send DiagBy[Physical]Data[10 01];
2.Delay[1000]ms;
3.Send DiagBy[Function]Data[10 03];
4.Delay[5100]ms;
5.Send DiagBy[Physical]Data[27 01];</t>
  </si>
  <si>
    <t>1.Check DiagData[50 01 00 32 00 C8]Within[50]ms;
3.Check No_Response Within[1000]ms;
5.Check DiagData[7F 27 7F]Within[50]ms;</t>
  </si>
  <si>
    <t>2.7 Incorrect Diagnostic Command Test</t>
  </si>
  <si>
    <t>Diag_0x10_Fun_023</t>
  </si>
  <si>
    <t>1.Send DiagBy[Physical]Data[10 01];
2.Send DiagBy[Function]Data[10 01]WithLen[3];</t>
  </si>
  <si>
    <t>Diag_0x10_Fun_024</t>
  </si>
  <si>
    <t>1.Send DiagBy[Physical]Data[10 01];
2.Send DiagBy[Function]Data[10 01]WithLen[1];</t>
  </si>
  <si>
    <t>2.8 NRC Priority Test</t>
  </si>
  <si>
    <t>Diag_0x10_Fun_025</t>
  </si>
  <si>
    <t>1.Send DiagBy[Physical]Data[10 01];
2.Send DiagBy[Function]Data[10 FF]WithLen[1];</t>
  </si>
  <si>
    <t>Diag_0x10_Fun_026</t>
  </si>
  <si>
    <t>1.Send DiagBy[Physical]Data[10 01];
2.Send DiagBy[Function]Data[10 FF]WithLen[3];</t>
  </si>
  <si>
    <t>Diag_0x10_Fun_027</t>
  </si>
  <si>
    <t>3.Boot Service_Physical Addressing</t>
  </si>
  <si>
    <t>3.1 Session Layer Test</t>
  </si>
  <si>
    <t>1.Send DiagBy[Physical]Data[10 01];
2.Delay[1000]ms;
3.Send DiagBy[Physical]Data[10 03];
4.Send DiagBy[Physical]Data[10 02];
5.Delay[1000]ms;
6.Send DiagBy[Physical]Data[10 01];
7.Delay[1000]ms;
8.Send DiagBy[Physical]Data[10 01];</t>
  </si>
  <si>
    <t>1.Check DiagData[50 01 00 32 00 C8]Within[50]ms;
3.Check DiagData[50 03 00 32 00 C8]Within[50]ms;
4.Check DiagData[50 02 00 32 00 C8]Within[50]ms;
6.Check DiagData[50 01 00 32 00 C8]Within[50]ms;
8.Check DiagData[50 01 00 32 00 C8]Within[50]ms;</t>
  </si>
  <si>
    <t>1.Send DiagBy[Physical]Data[10 01];
2.Delay[1000]ms;
3.Send DiagBy[Physical]Data[10 03];
4.Send DiagBy[Physical]Data[10 02];
5.Delay[1000]ms;
6.Send DiagBy[Physical]Data[10 01];
7.Delay[1000]ms;
8.Send DiagBy[Physical]Data[10 02];</t>
  </si>
  <si>
    <t>1.Check DiagData[50 01 00 32 00 C8]Within[50]ms;
3.Check DiagData[50 03 00 32 00 C8]Within[50]ms;
4.Check DiagData[50 02 00 32 00 C8]Within[50]ms;
6.Check DiagData[50 01 00 32 00 C8]Within[50]ms;
8.Check DiagData[7F 10 22]Within[50]ms;</t>
  </si>
  <si>
    <t>1.Send DiagBy[Physical]Data[10 01];
2.Delay[1000]ms;
3.Send DiagBy[Physical]Data[10 03];
4.Send DiagBy[Physical]Data[10 02];
5.Delay[1000]ms;
6.Send DiagBy[Physical]Data[10 01];
7.Delay[1000]ms;
8.Send DiagBy[Physical]Data[10 03];</t>
  </si>
  <si>
    <t>1.Check DiagData[50 01 00 32 00 C8]Within[50]ms;
3.Check DiagData[50 03 00 32 00 C8]Within[50]ms;
4.Check DiagData[50 02 00 32 00 C8]Within[50]ms;
6.Check DiagData[50 01 00 32 00 C8]Within[50]ms;
8.Check DiagData[50 03 00 32 00 C8]Within[50]ms;</t>
  </si>
  <si>
    <t>1.Send DiagBy[Physical]Data[10 01];
2.Delay[1000]ms;
3.Send DiagBy[Physical]Data[10 03];
4.Send DiagBy[Physical]Data[10 02];
5.Delay[1000]ms;
6.Send DiagBy[Physical]Data[10 01];
7.Delay[1000]ms;
8.Send DiagBy[Physical]Data[10 03];
9.Send DiagBy[Physical]Data[10 01];</t>
  </si>
  <si>
    <t>1.Check DiagData[50 01 00 32 00 C8]Within[50]ms;
3.Check DiagData[50 03 00 32 00 C8]Within[50]ms;
4.Check DiagData[50 02 00 32 00 C8]Within[50]ms;
6.Check DiagData[50 01 00 32 00 C8]Within[50]ms;
8.Check DiagData[50 03 00 32 00 C8]Within[50]ms;
9.Check DiagData[50 01 00 32 00 C8]Within[50]ms;</t>
  </si>
  <si>
    <t>1.Send DiagBy[Physical]Data[10 01];
2.Delay[1000]ms;
3.Send DiagBy[Physical]Data[10 03];
4.Send DiagBy[Physical]Data[10 02];
5.Delay[1000]ms;
6.Send DiagBy[Physical]Data[10 01];
7.Delay[1000]ms;
8.Send DiagBy[Physical]Data[10 03];
9.Send DiagBy[Physical]Data[10 02];</t>
  </si>
  <si>
    <t>1.Check DiagData[50 01 00 32 00 C8]Within[50]ms;
3.Check DiagData[50 03 00 32 00 C8]Within[50]ms;
4.Check DiagData[50 02 00 32 00 C8]Within[50]ms;
6.Check DiagData[50 01 00 32 00 C8]Within[50]ms;
8.Check DiagData[50 03 00 32 00 C8]Within[50]ms;
9.Check DiagData[50 02 00 32 00 C8]Within[50]ms;</t>
  </si>
  <si>
    <t>1.Send DiagBy[Physical]Data[10 01];
2.Delay[1000]ms;
3.Send DiagBy[Physical]Data[10 03];
4.Send DiagBy[Physical]Data[10 02];
5.Delay[1000]ms;
6.Send DiagBy[Physical]Data[10 01];
7.Delay[1000]ms;
8.Send DiagBy[Physical]Data[10 03];
9.Send DiagBy[Physical]Data[10 03];</t>
  </si>
  <si>
    <t>1.Check DiagData[50 01 00 32 00 C8]Within[50]ms;
3.Check DiagData[50 03 00 32 00 C8]Within[50]ms;
4.Check DiagData[50 02 00 32 00 C8]Within[50]ms;
6.Check DiagData[50 01 00 32 00 C8]Within[50]ms;
8.Check DiagData[50 03 00 32 00 C8]Within[50]ms;
9.Check DiagData[50 03 00 32 00 C8]Within[50]ms;</t>
  </si>
  <si>
    <t>3.2 SPRMIB Test</t>
  </si>
  <si>
    <t>1.Send DiagBy[Physical]Data[10 01];
2.Delay[1000]ms;
3.Send DiagBy[Physical]Data[10 03];
4.Send DiagBy[Physical]Data[10 02];
5.Delay[1000]ms;
6.Send DiagBy[Physical]Data[10 01];
7.Delay[1000]ms;
8.Send DiagBy[Physical]Data[10 81];</t>
  </si>
  <si>
    <t>1.Check DiagData[50 01 00 32 00 C8]Within[50]ms;
3.Check DiagData[50 03 00 32 00 C8]Within[50]ms;
4.Check DiagData[50 02 00 32 00 C8]Within[50]ms;
6.Check DiagData[50 01 00 32 00 C8]Within[50]ms;
8.Check No_Response Within[1000]ms;</t>
  </si>
  <si>
    <t>1.Send DiagBy[Physical]Data[10 01];
2.Delay[1000]ms;
3.Send DiagBy[Physical]Data[10 03];
4.Send DiagBy[Physical]Data[10 02];
5.Delay[1000]ms;
6.Send DiagBy[Physical]Data[10 01];
7.Delay[1000]ms;
8.Send DiagBy[Physical]Data[10 82];</t>
  </si>
  <si>
    <t>1.Send DiagBy[Physical]Data[10 01];
2.Delay[1000]ms;
3.Send DiagBy[Physical]Data[10 03];
4.Send DiagBy[Physical]Data[10 02];
5.Delay[1000]ms;
6.Send DiagBy[Physical]Data[10 01];
7.Delay[1000]ms;
8.Send DiagBy[Physical]Data[10 83];</t>
  </si>
  <si>
    <t>1.Send DiagBy[Physical]Data[10 01];
2.Delay[1000]ms;
3.Send DiagBy[Physical]Data[10 03];
4.Send DiagBy[Physical]Data[10 02];
5.Delay[1000]ms;
6.Send DiagBy[Physical]Data[10 01];
7.Delay[1000]ms;
8.Send DiagBy[Physical]Data[10 03];
9.Send DiagBy[Physical]Data[10 81];</t>
  </si>
  <si>
    <t>1.Check DiagData[50 01 00 32 00 C8]Within[50]ms;
3.Check DiagData[50 03 00 32 00 C8]Within[50]ms;
4.Check DiagData[50 02 00 32 00 C8]Within[50]ms;
6.Check DiagData[50 01 00 32 00 C8]Within[50]ms;
8.Check DiagData[50 03 00 32 00 C8]Within[50]ms;
9.Check No_Response Within[1000]ms;</t>
  </si>
  <si>
    <t>1.Send DiagBy[Physical]Data[10 01];
2.Delay[1000]ms;
3.Send DiagBy[Physical]Data[10 03];
4.Send DiagBy[Physical]Data[10 02];
5.Delay[1000]ms;
6.Send DiagBy[Physical]Data[10 01];
7.Delay[1000]ms;
8.Send DiagBy[Physical]Data[10 03];
9.Send DiagBy[Physical]Data[10 82];</t>
  </si>
  <si>
    <t>1.Send DiagBy[Physical]Data[10 01];
2.Delay[1000]ms;
3.Send DiagBy[Physical]Data[10 03];
4.Send DiagBy[Physical]Data[10 02];
5.Delay[1000]ms;
6.Send DiagBy[Physical]Data[10 01];
7.Delay[1000]ms;
8.Send DiagBy[Physical]Data[10 03];
9.Send DiagBy[Physical]Data[10 83];</t>
  </si>
  <si>
    <t>3.3 Secure Access Test</t>
  </si>
  <si>
    <t>1.Send DiagBy[Physical]Data[10 01];
2.Delay[1000]ms;
3.Send DiagBy[Physical]Data[10 03];
4.Send DiagBy[Physical]Data[10 02];
5.Delay[1000]ms;
6.Send DiagBy[Physical]Data[10 01];
7.Delay[1000]ms;
8.Send DiagBy[Physical]Data[10 03];
9.Send DiagBy[Physical]Data[27 01]AndCheckResp[PositiveResponse];
10.Send Security Right KeyBy[Physical]Level[02];
11.Send DiagBy[Physical]Data[10 02];</t>
  </si>
  <si>
    <t>1.Check DiagData[50 01 00 32 00 C8]Within[50]ms;
3.Check DiagData[50 03 00 32 00 C8]Within[50]ms;
4.Check DiagData[50 02 00 32 00 C8]Within[50]ms;
6.Check DiagData[50 01 00 32 00 C8]Within[50]ms;
8.Check DiagData[50 03 00 32 00 C8]Within[50]ms;
10.Check DiagData[67 02]Within[50]ms;
11.Check DiagData[50 02 00 32 00 C8]Within[50]ms;</t>
  </si>
  <si>
    <t>3.4 ECU Reset Test</t>
  </si>
  <si>
    <t>1.Send DiagBy[Physical]Data[10 01];
2.Delay[1000]ms;
3.Send DiagBy[Physical]Data[10 03];
4.Send DiagBy[Physical]Data[10 02];
5.Set Voltage[0]V;
6.Delay[3000]ms;
7.Set Voltage[12]V;
8.Delay[3000]ms;
9.Send DiagBy[Physical]Data[27 01];</t>
  </si>
  <si>
    <t>1.Check DiagData[50 01 00 32 00 C8]Within[50]ms;
3.Check DiagData[50 03 00 32 00 C8]Within[50]ms;
4.Check DiagData[50 02 00 32 00 C8]Within[50]ms;
9.Check DiagData[7F 27 7F]Within[50]ms;</t>
  </si>
  <si>
    <t>1.Send DiagBy[Physical]Data[10 01];
2.Delay[1000]ms;
3.Send DiagBy[Physical]Data[10 03];
4.Send DiagBy[Physical]Data[10 02];
5.Send DiagBy[Physical]Data[11 01];
6.Delay[1000]ms;
7.Send DiagBy[Physical]Data[27 01];</t>
  </si>
  <si>
    <t>1.Check DiagData[50 01 00 32 00 C8]Within[50]ms;
3.Check DiagData[50 03 00 32 00 C8]Within[50]ms;
4.Check DiagData[50 02 00 32 00 C8]Within[50]ms;
5.Check DiagData[51 01]Within[50]ms;
7.Check DiagData[7F 27 7F]Within[50]ms;</t>
  </si>
  <si>
    <t>3.5 Sub-function Traversal Test</t>
  </si>
  <si>
    <t>1.Send DiagBy[Physical]Data[10 01];
2.Delay[1000]ms;
3.Send DiagBy[Physical]Data[10 03];
4.Send DiagBy[Physical]Data[10 02];
5.Delay[1000]ms;
6.Send DiagBy[Physical]Data[10 01];
7.Delay[1000]ms;
8.Send SubTraversalBy[Physical]Service[0x10]Excluding[01 02 03 81 83]AndCheckResp[0x12];</t>
  </si>
  <si>
    <t>1.Check DiagData[50 01 00 32 00 C8]Within[50]ms;
3.Check DiagData[50 03 00 32 00 C8]Within[50]ms;
4.Check DiagData[50 02 00 32 00 C8]Within[50]ms;
6.Check DiagData[50 01 00 32 00 C8]Within[50]ms;</t>
  </si>
  <si>
    <t>1.Send DiagBy[Physical]Data[10 01];
2.Delay[1000]ms;
3.Send DiagBy[Physical]Data[10 03];
4.Send DiagBy[Physical]Data[10 02];
5.Delay[1000]ms;
6.Send DiagBy[Physical]Data[10 01];
7.Delay[1000]ms;
8.Send DiagBy[Physical]Data[10 03];
9.Send SubTraversalBy[Physical]Service[0x10]Excluding[01 02 03 81 83]AndCheckResp[0x12];</t>
  </si>
  <si>
    <t>3.6 S3 Server Timer Test</t>
  </si>
  <si>
    <t>1.Send DiagBy[Physical]Data[10 01];
2.Delay[1000]ms;
3.Send DiagBy[Physical]Data[10 03];
4.Send DiagBy[Physical]Data[10 02];
5.Delay[4900]ms;
6.Send DiagBy[Physical]Data[27 01];</t>
  </si>
  <si>
    <t>1.Check DiagData[50 01 00 32 00 C8]Within[50]ms;
3.Check DiagData[50 03 00 32 00 C8]Within[50]ms;
4.Check DiagData[50 02 00 32 00 C8]Within[50]ms;
6.Check DiagData[67 01]Within[50]ms;</t>
  </si>
  <si>
    <t>1.Send DiagBy[Physical]Data[10 01];
2.Delay[1000]ms;
3.Send DiagBy[Physical]Data[10 03];
4.Send DiagBy[Physical]Data[10 02];
5.Delay[5100]ms;
6.Send DiagBy[Physical]Data[27 01];</t>
  </si>
  <si>
    <t>1.Check DiagData[50 01 00 32 00 C8]Within[50]ms;
3.Check DiagData[50 03 00 32 00 C8]Within[50]ms;
4.Check DiagData[50 02 00 32 00 C8]Within[50]ms;
6.Check DiagData[7F 27 7F]Within[50]ms;</t>
  </si>
  <si>
    <t>3.7 Incorrect Diagnostic Command Test</t>
  </si>
  <si>
    <t>1.Send DiagBy[Physical]Data[10 01];
2.Delay[1000]ms;
3.Send DiagBy[Physical]Data[10 03];
4.Send DiagBy[Physical]Data[10 02];
5.Send DiagBy[Physical]Data[10 01]WithLen[3];</t>
  </si>
  <si>
    <t>1.Check DiagData[50 01 00 32 00 C8]Within[50]ms;
3.Check DiagData[50 03 00 32 00 C8]Within[50]ms;
4.Check DiagData[50 02 00 32 00 C8]Within[50]ms;
5.Check DiagData[7F 10 13]Within[50]ms;</t>
  </si>
  <si>
    <t>1.Send DiagBy[Physical]Data[10 01];
2.Delay[1000]ms;
3.Send DiagBy[Physical]Data[10 03];
4.Send DiagBy[Physical]Data[10 02];
5.Send DiagBy[Physical]Data[10 01]WithLen[1];</t>
  </si>
  <si>
    <t>3.8 NRC Priority Test</t>
  </si>
  <si>
    <t>1.Send DiagBy[Physical]Data[10 01];
2.Delay[1000]ms;
3.Send DiagBy[Physical]Data[10 03];
4.Send DiagBy[Physical]Data[10 02];
5.Send DiagBy[Physical]Data[10 FF]WithLen[1];</t>
  </si>
  <si>
    <t>1.Send DiagBy[Physical]Data[10 01];
2.Delay[1000]ms;
3.Send DiagBy[Physical]Data[10 03];
4.Send DiagBy[Physical]Data[10 02];
5.Send DiagBy[Physical]Data[10 FF]WithLen[3];</t>
  </si>
  <si>
    <t>1.Check DiagData[50 01 00 32 00 C8]Within[50]ms;
3.Check DiagData[50 03 00 32 00 C8]Within[50]ms;
4.Check DiagData[50 02 00 32 00 C8]Within[50]ms;
5.Check DiagData[7F 10 12]Within[50]ms;</t>
  </si>
  <si>
    <t>4.Boot Service_Functional Addressing</t>
  </si>
  <si>
    <t>4.1 Session Layer Test</t>
  </si>
  <si>
    <t>1.Send DiagBy[Physical]Data[10 01];
2.Delay[1000]ms;
3.Send DiagBy[Physical]Data[10 03];
4.Send DiagBy[Physical]Data[10 02];
5.Delay[1000]ms;
6.Send DiagBy[Physical]Data[10 01];
7.Delay[1000]ms;
8.Send DiagBy[Function]Data[10 01];</t>
  </si>
  <si>
    <t>1.Send DiagBy[Physical]Data[10 01];
2.Delay[1000]ms;
3.Send DiagBy[Physical]Data[10 03];
4.Send DiagBy[Physical]Data[10 02];
5.Delay[1000]ms;
6.Send DiagBy[Physical]Data[10 01];
7.Delay[1000]ms;
8.Send DiagBy[Function]Data[10 02];</t>
  </si>
  <si>
    <t>1.Send DiagBy[Physical]Data[10 01];
2.Delay[1000]ms;
3.Send DiagBy[Physical]Data[10 03];
4.Send DiagBy[Physical]Data[10 02];
5.Delay[1000]ms;
6.Send DiagBy[Physical]Data[10 01];
7.Delay[1000]ms;
8.Send DiagBy[Function]Data[10 03];</t>
  </si>
  <si>
    <t>1.Send DiagBy[Physical]Data[10 01];
2.Delay[1000]ms;
3.Send DiagBy[Physical]Data[10 03];
4.Send DiagBy[Physical]Data[10 02];
5.Delay[1000]ms;
6.Send DiagBy[Physical]Data[10 01];
7.Delay[1000]ms;
8.Send DiagBy[Physical]Data[10 03];
9.Send DiagBy[Function]Data[10 01];</t>
  </si>
  <si>
    <t>1.Send DiagBy[Physical]Data[10 01];
2.Delay[1000]ms;
3.Send DiagBy[Physical]Data[10 03];
4.Send DiagBy[Physical]Data[10 02];
5.Delay[1000]ms;
6.Send DiagBy[Physical]Data[10 01];
7.Delay[1000]ms;
8.Send DiagBy[Physical]Data[10 03];
9.Send DiagBy[Function]Data[10 02];</t>
  </si>
  <si>
    <t>1.Send DiagBy[Physical]Data[10 01];
2.Delay[1000]ms;
3.Send DiagBy[Physical]Data[10 03];
4.Send DiagBy[Physical]Data[10 02];
5.Delay[1000]ms;
6.Send DiagBy[Physical]Data[10 01];
7.Delay[1000]ms;
8.Send DiagBy[Physical]Data[10 03];
9.Send DiagBy[Function]Data[10 03];</t>
  </si>
  <si>
    <t>4.2 SPRMIB Test</t>
  </si>
  <si>
    <t>1.Send DiagBy[Physical]Data[10 01];
2.Delay[1000]ms;
3.Send DiagBy[Physical]Data[10 03];
4.Send DiagBy[Physical]Data[10 02];
5.Delay[1000]ms;
6.Send DiagBy[Physical]Data[10 01];
7.Delay[1000]ms;
8.Send DiagBy[Function]Data[10 81];</t>
  </si>
  <si>
    <t>1.Send DiagBy[Physical]Data[10 01];
2.Delay[1000]ms;
3.Send DiagBy[Physical]Data[10 03];
4.Send DiagBy[Physical]Data[10 02];
5.Delay[1000]ms;
6.Send DiagBy[Physical]Data[10 01];
7.Delay[1000]ms;
8.Send DiagBy[Function]Data[10 83];</t>
  </si>
  <si>
    <t>1.Send DiagBy[Physical]Data[10 01];
2.Delay[1000]ms;
3.Send DiagBy[Physical]Data[10 03];
4.Send DiagBy[Physical]Data[10 02];
5.Delay[1000]ms;
6.Send DiagBy[Physical]Data[10 01];
7.Delay[1000]ms;
8.Send DiagBy[Physical]Data[10 03];
9.Send DiagBy[Function]Data[10 81];</t>
  </si>
  <si>
    <t>1.Send DiagBy[Physical]Data[10 01];
2.Delay[1000]ms;
3.Send DiagBy[Physical]Data[10 03];
4.Send DiagBy[Physical]Data[10 02];
5.Delay[1000]ms;
6.Send DiagBy[Physical]Data[10 01];
7.Delay[1000]ms;
8.Send DiagBy[Physical]Data[10 03];
9.Send DiagBy[Function]Data[10 83];</t>
  </si>
  <si>
    <t>4.4 ECU Reset Test</t>
  </si>
  <si>
    <t>1.Send DiagBy[Physical]Data[10 01];
2.Delay[1000]ms;
3.Send DiagBy[Physical]Data[10 03];
4.Send DiagBy[Function]Data[10 02];
5.Delay[1000]ms;
6.Set Voltage[0]V;
7.Delay[3000]ms;
8.Set Voltage[12]V;
9.Delay[3000]ms;
10.Send DiagBy[Physical]Data[27 01];</t>
  </si>
  <si>
    <t>1.Check DiagData[50 01 00 32 00 C8]Within[50]ms;
3.Check DiagData[50 03 00 32 00 C8]Within[50]ms;
4.Check No_Response Within[1000]ms;
10.Check DiagData[7F 27 7F]Within[50]ms;</t>
  </si>
  <si>
    <t>1.Send DiagBy[Physical]Data[10 01];
2.Delay[1000]ms;
3.Send DiagBy[Physical]Data[10 03];
4.Send DiagBy[Function]Data[10 02];
5.Delay[1000]ms;
6.Send DiagBy[Physical]Data[11 01];
7.Delay[1000]ms;
8.Send DiagBy[Physical]Data[27 01];</t>
  </si>
  <si>
    <t>1.Check DiagData[50 01 00 32 00 C8]Within[50]ms;
3.Check DiagData[50 03 00 32 00 C8]Within[50]ms;
4.Check No_Response Within[1000]ms;
6.Check DiagData[51 01]Within[50]ms;
8.Check DiagData[7F 27 7F]Within[50]ms;</t>
  </si>
  <si>
    <t>4.5 Sub-function Traversal Test</t>
  </si>
  <si>
    <t>1.Send DiagBy[Physical]Data[10 01];
2.Delay[1000]ms;
3.Send DiagBy[Physical]Data[10 03];
4.Send DiagBy[Physical]Data[10 02];
5.Delay[1000]ms;
6.Send DiagBy[Physical]Data[10 01];
7.Delay[1000]ms;
8.Send SubTraversalBy[Function]Service[0x10]Excluding[01 03 81 83]AndCheckResp[NoResponse];</t>
  </si>
  <si>
    <t>1.Send DiagBy[Physical]Data[10 01];
2.Delay[1000]ms;
3.Send DiagBy[Physical]Data[10 03];
4.Send DiagBy[Physical]Data[10 02];
5.Delay[1000]ms;
6.Send DiagBy[Physical]Data[10 01];
7.Delay[1000]ms;
8.Send DiagBy[Physical]Data[10 03];
9.Send SubTraversalBy[Function]Service[0x10]Excluding[01 03 81 83]AndCheckResp[NoResponse];</t>
  </si>
  <si>
    <t>4.6 S3 Server Timer Test</t>
  </si>
  <si>
    <t>4.7 Incorrect Diagnostic Command Test</t>
  </si>
  <si>
    <t>1.Send DiagBy[Physical]Data[10 01];
2.Delay[1000]ms;
3.Send DiagBy[Physical]Data[10 03];
4.Send DiagBy[Physical]Data[10 02];
5.Send DiagBy[Function]Data[10 01]WithLen[3];</t>
  </si>
  <si>
    <t>1.Send DiagBy[Physical]Data[10 01];
2.Delay[1000]ms;
3.Send DiagBy[Physical]Data[10 03];
4.Send DiagBy[Physical]Data[10 02];
5.Send DiagBy[Function]Data[10 01]WithLen[1];</t>
  </si>
  <si>
    <t>4.8 NRC Priority Test</t>
  </si>
  <si>
    <t>1.Send DiagBy[Physical]Data[10 01];
2.Delay[1000]ms;
3.Send DiagBy[Physical]Data[10 03];
4.Send DiagBy[Physical]Data[10 02];
5.Send DiagBy[Function]Data[10 FF]WithLen[1];</t>
  </si>
  <si>
    <t>1.Send DiagBy[Physical]Data[10 01];
2.Delay[1000]ms;
3.Send DiagBy[Physical]Data[10 03];
4.Send DiagBy[Physical]Data[10 02];
5.Send DiagBy[Function]Data[10 FF]WithLen[3];</t>
  </si>
  <si>
    <t>1. Application Service_Physical Addressing</t>
  </si>
  <si>
    <t>Diag_0x11_Phy_001</t>
  </si>
  <si>
    <t>Default Session nonsupport 0x11 services</t>
  </si>
  <si>
    <t>1.Send DiagBy[Physical]Data[10 01];</t>
  </si>
  <si>
    <t>Diag_0x11_Phy_002</t>
  </si>
  <si>
    <t>Programming Session support the 0x11 service 0x01 subfunction</t>
  </si>
  <si>
    <t>1.Send DiagBy[Physical]Data[10 01];
2.Delay[1000]ms;
3.Send DiagBy[Physical]Data[10 03];
4.Delay[1000]ms;
5.Send DiagBy[Physical]Data[10 02];
6.Send DiagBy[Physical]Data[11 01];
7.Delay[1000]ms;</t>
  </si>
  <si>
    <t>1.Check DiagData[50 01 00 32 00 C8]Within[50]ms;
3.Check DiagData[50 03 00 32 00 C8]Within[50]ms;
5.Check DiagData[50 02 00 32 00 C8]Within[50]ms;
6.Check DiagData[51 01]Within[50]ms;</t>
  </si>
  <si>
    <t>Diag_0x11_Phy_003</t>
  </si>
  <si>
    <t>Extended Session support the 0x11 service 0x01 subfunction</t>
  </si>
  <si>
    <t>1.Send DiagBy[Physical]Data[10 01];
2.Delay[1000]ms;
3.Send DiagBy[Physical]Data[10 03];
4.Send DiagBy[Physical]Data[11 01];
5.Delay[1000]ms;</t>
  </si>
  <si>
    <t>1.Check DiagData[50 01 00 32 00 C8]Within[50]ms;
3.Check DiagData[50 03 00 32 00 C8]Within[50]ms;
4.Check DiagData[51 01]Within[50]ms;</t>
  </si>
  <si>
    <t>Diag_0x11_Phy_004</t>
  </si>
  <si>
    <t>Programming Session support the 0x11 service 0x01 subfunction with SPRMIB</t>
  </si>
  <si>
    <t>1.Send DiagBy[Physical]Data[10 01];
2.Delay[1000]ms;
3.Send DiagBy[Physical]Data[10 03];
4.Delay[1000]ms;
5.Send DiagBy[Physical]Data[10 02];
6.Send DiagBy[Physical]Data[11 81];</t>
  </si>
  <si>
    <t>1.Check DiagData[50 01 00 32 00 C8]Within[50]ms;
3.Check DiagData[50 03 00 32 00 C8]Within[50]ms;
5.Check DiagData[50 02 00 32 00 C8]Within[50]ms;
6.Check DiagData[7F 11 12]Within[50]ms;</t>
  </si>
  <si>
    <t>Diag_0x11_Phy_005</t>
  </si>
  <si>
    <t>Extended Session support the 0x11 service 0x01 subfunction with SPRMIB</t>
  </si>
  <si>
    <t>1.Send DiagBy[Physical]Data[10 01];
2.Delay[1000]ms;
3.Send DiagBy[Physical]Data[10 03];
4.Send DiagBy[Physical]Data[11 81];</t>
  </si>
  <si>
    <t>1.Check DiagData[50 01 00 32 00 C8]Within[50]ms;
3.Check DiagData[50 03 00 32 00 C8]Within[50]ms;
4.Check DiagData[7F 11 12]Within[50]ms;</t>
  </si>
  <si>
    <t>Diag_0x11_Phy_006</t>
  </si>
  <si>
    <t>Default Session nonsupport 0x11 services with SPRMIB</t>
  </si>
  <si>
    <t>1.Send DiagBy[Physical]Data[10 01];
2.Send DiagBy[Physical]Data[11 81];</t>
  </si>
  <si>
    <t>1.Check DiagData[50 01 00 32 00 C8]Within[50]ms;
2.Check DiagData[7F 11 7F]Within[50]ms;</t>
  </si>
  <si>
    <t>Diag_0x11_Phy_007</t>
  </si>
  <si>
    <t>Security access L1 unlock supports 0x11 service 0x01 subfunction</t>
  </si>
  <si>
    <t>1.Check DiagData[50 01 00 32 00 C8]Within[50]ms;
3.Check DiagData[50 03 00 32 00 C8]Within[50]ms;
5.Check DiagData[67 02]Within[50]ms;
6.Check DiagData[51 01]Within[50]ms;</t>
  </si>
  <si>
    <t>A. Service Reset</t>
  </si>
  <si>
    <t>Diag_0x11_Phy_008</t>
  </si>
  <si>
    <t>0x11 Service 0x01 subfunction non-Default Session to Default Session</t>
  </si>
  <si>
    <t>1.Send DiagBy[Physical]Data[10 01];
2.Delay[1000]ms;
3.Send DiagBy[Physical]Data[10 03];
4.Send DiagBy[Physical]Data[11 01];
5.Delay[1000]ms;
6.Send DiagBy[Physical]Data[22 F6 C3];</t>
  </si>
  <si>
    <t>1.Check DiagData[50 01 00 32 00 C8]Within[50]ms;
3.Check DiagData[50 03 00 32 00 C8]Within[50]ms;
4.Check DiagData[51 01]Within[50]ms;
6.Check DiagData[62 F6 C3]Within[50]ms;</t>
  </si>
  <si>
    <t>B. Security Access Reset</t>
  </si>
  <si>
    <t>Diag_0x11_Phy_009</t>
  </si>
  <si>
    <t>0x11 Service 0x01 subfunction Security access reset</t>
  </si>
  <si>
    <t>1.Send DiagBy[Physical]Data[10 01];
2.Delay[1000]ms;
3.Send DiagBy[Physical]Data[10 03];
4.Send DiagBy[Physical]Data[27 01]AndCheckResp[PositiveResponse];
5.Send Security Right KeyBy[Physical]Level[02];
6.Send DiagBy[Physical]Data[11 01];
7.Delay[1000]ms;
8.Send DiagBy[Physical]Data[22 F6 C3];
9.Send DiagBy[Physical]Data[10 03];
10.Send DiagBy[Physical]Data[27 01];</t>
  </si>
  <si>
    <t>1.Check DiagData[50 01 00 32 00 C8]Within[50]ms;
3.Check DiagData[50 03 00 32 00 C8]Within[50]ms;
5.Check DiagData[67 02]Within[50]ms;
6.Check DiagData[51 01]Within[50]ms;
8.Check DiagData[62 F6 C3]Within[50]ms;
9.Check DiagData[50 03 00 32 00 C8]Within[50]ms;
10.Check DiagData[67 01]Within[50]ms;</t>
  </si>
  <si>
    <t>C. Communication Control State Reset</t>
  </si>
  <si>
    <t>Diag_0x11_Phy_010</t>
  </si>
  <si>
    <t>0x11 Service 0x01 subfunction communication control state reset</t>
  </si>
  <si>
    <t>1.Send DiagBy[Physical]Data[10 01];
2.Delay[1000]ms;
3.Send DiagBy[Physical]Data[10 03];
4.Send DiagBy[Physical]Data[28 01 01];
5.Send DiagBy[Physical]Data[11 01];
6.Delay[1000]ms;
7.Send DiagBy[Physical]Data[22 F6 C3];</t>
  </si>
  <si>
    <t>Diag_0x11_Phy_011</t>
  </si>
  <si>
    <t>1.Send DiagBy[Physical]Data[10 01];
2.Send SubTraversalBy[Physical]Service[0x11]Excluding[01 81]AndCheckResp[0x7F];</t>
  </si>
  <si>
    <t>Diag_0x11_Phy_012</t>
  </si>
  <si>
    <t>1.Send DiagBy[Physical]Data[10 01];
2.Delay[1000]ms;
3.Send DiagBy[Physical]Data[10 03];
4.Delay[1000]ms;
5.Send DiagBy[Physical]Data[10 02];
6.Send SubTraversalBy[Physical]Service[0x11]Excluding[01 81]AndCheckResp[0x12];</t>
  </si>
  <si>
    <t>1.Check DiagData[50 01 00 32 00 C8]Within[50]ms;
3.Check DiagData[50 03 00 32 00 C8]Within[50]ms;
5.Check DiagData[50 02 00 32 00 C8]Within[50]ms;</t>
  </si>
  <si>
    <t>Diag_0x11_Phy_013</t>
  </si>
  <si>
    <t>1.Send DiagBy[Physical]Data[10 01];
2.Delay[1000]ms;
3.Send DiagBy[Physical]Data[10 03];
4.Send SubTraversalBy[Physical]Service[0x11]Excluding[01 81]AndCheckResp[0x12];</t>
  </si>
  <si>
    <t>A. DLC Error Test</t>
  </si>
  <si>
    <t>Diag_0x11_Phy_014</t>
  </si>
  <si>
    <t>When a diagnostic message with DLC &lt; 8 is sent, ECU does not respond</t>
  </si>
  <si>
    <t>1.Send DiagBy[Physical]Data[10 01];
2.Delay[1000]ms;
3.Send DiagBy[Physical]Data[10 03];
4.Send Msg[ReqCANID]Data[02 11 01]WithDLC[7];</t>
  </si>
  <si>
    <t>Diag_0x11_Phy_015</t>
  </si>
  <si>
    <t>When a diagnostic message with DLC &gt; 8 is sent, ECU responds normally</t>
  </si>
  <si>
    <t>1.Send DiagBy[Physical]Data[10 01];
2.Delay[1000]ms;
3.Send DiagBy[Physical]Data[10 03];
4.Send Msg[ReqCANID]Data[02 11 01]WithDLC[9];</t>
  </si>
  <si>
    <t>B. NRC Priority Test</t>
  </si>
  <si>
    <t>Diag_0x11_Phy_016</t>
  </si>
  <si>
    <t>1.Send DiagBy[Physical]Data[10 01];
2.Delay[1000]ms;
3.Send DiagBy[Physical]Data[10 03];
4.Send Msg[ReqCANID]Data[01 11]WithDLC[8];</t>
  </si>
  <si>
    <t>1.Check DiagData[50 01 00 32 00 C8]Within[50]ms;
3.Check DiagData[50 03 00 32 00 C8]Within[50]ms;
4.Check DiagData[7F 11 13]Within[50]ms;</t>
  </si>
  <si>
    <t>Diag_0x11_Phy_017</t>
  </si>
  <si>
    <t>1.Send DiagBy[Physical]Data[10 01];
2.Send DiagBy[Physical]Data[11 02];</t>
  </si>
  <si>
    <t>1.Check DiagData[50 01 00 32 00 C8]Within[50]ms;
2.Check DiagData[7F 11 12]Within[50]ms;</t>
  </si>
  <si>
    <t>Diag_0x11_Phy_018</t>
  </si>
  <si>
    <t>1.Send DiagBy[Physical]Data[10 01];
2.Send DiagBy[Physical]Data[11 01];</t>
  </si>
  <si>
    <t>C. Voltage Condition Test</t>
  </si>
  <si>
    <t>Diag_0x11_Phy_019</t>
  </si>
  <si>
    <t>When the preset voltage condition is not met (low), NRC 0x22 is reported</t>
  </si>
  <si>
    <t>1.Send DiagBy[Physical]Data[10 01];
2.Delay[1000]ms;
3.Send DiagBy[Physical]Data[10 03];
4.Set Voltage[6.8]V;
5.Delay[3000]ms;
6.Send DiagBy[Physical]Data[11 01];</t>
  </si>
  <si>
    <t>1.Check DiagData[50 01 00 32 00 C8]Within[50]ms;
3.Check DiagData[50 03 00 32 00 C8]Within[50]ms;
6.Check DiagData[7F 11 22]Within[50]ms;</t>
  </si>
  <si>
    <t>Diag_0x11_Phy_020</t>
  </si>
  <si>
    <t>When the preset voltage condition is not met (high), NRC 0x22 is reported</t>
  </si>
  <si>
    <t>1.Send DiagBy[Physical]Data[10 01];
2.Delay[1000]ms;
3.Send DiagBy[Physical]Data[10 03];
4.Set Voltage[18.0]V;
5.Delay[3000]ms;
6.Send DiagBy[Physical]Data[11 01];</t>
  </si>
  <si>
    <t>1.7 Functional Addressing Test</t>
  </si>
  <si>
    <t>Diag_0x11_Phy_021</t>
  </si>
  <si>
    <t>0x11 Service nonsupport functional addressing subfunction 0x01</t>
  </si>
  <si>
    <t>1.Send DiagBy[Physical]Data[10 01];
2.Delay[1000]ms;
3.Send DiagBy[Physical]Data[10 03];
4.Send DiagBy[Function]Data[11 01];
5.Delay[1000]ms;</t>
  </si>
  <si>
    <t>Diag_0x11_Phy_022</t>
  </si>
  <si>
    <t>0x11 Service nonsupport functional addressing subfunction 0x02</t>
  </si>
  <si>
    <t>1.Send DiagBy[Physical]Data[10 01];
2.Delay[1000]ms;
3.Send DiagBy[Physical]Data[10 03];
4.Send DiagBy[Function]Data[11 02];
5.Delay[1000]ms;</t>
  </si>
  <si>
    <t>Diag_0x11_Phy_023</t>
  </si>
  <si>
    <t>0x11 Service nonsupport functional addressing subfunction 0x03</t>
  </si>
  <si>
    <t>1.Send DiagBy[Physical]Data[10 01];
2.Delay[1000]ms;
3.Send DiagBy[Physical]Data[10 03];
4.Send DiagBy[Function]Data[11 03];
5.Delay[1000]ms;</t>
  </si>
  <si>
    <t>3. Boot Service_Physical Addressing</t>
  </si>
  <si>
    <t>Diag_0x11_Phy_024</t>
  </si>
  <si>
    <t>Boot Default Session nonsupport 0x11 services</t>
  </si>
  <si>
    <t>1.Send DiagBy[Physical]Data[10 01];
2.Delay[1000]ms;
3.Send DiagBy[Physical]Data[10 03];
4.Delay[1000]ms;
5.Send DiagBy[Physical]Data[10 02];
6.Send DiagBy[Physical]Data[10 01];
7.Send DiagBy[Physical]Data[11 01];</t>
  </si>
  <si>
    <t>1.Check DiagData[50 01 00 32 00 C8]Within[50]ms;
3.Check DiagData[50 03 00 32 00 C8]Within[50]ms;
5.Check DiagData[50 02 00 32 00 C8]Within[50]ms;
6.Check DiagData[50 01 00 32 00 C8]Within[50]ms;
7.Check DiagData[7F 11 7F]Within[50]ms;</t>
  </si>
  <si>
    <t>Diag_0x11_Phy_025</t>
  </si>
  <si>
    <t>Boot Programming Session support the 0x11 service 0x01 subfunction</t>
  </si>
  <si>
    <t>Diag_0x11_Phy_026</t>
  </si>
  <si>
    <t>Boot Extended Session support the 0x11 service 0x01 subfunction</t>
  </si>
  <si>
    <t>1.Send DiagBy[Physical]Data[10 01];
2.Delay[1000]ms;
3.Send DiagBy[Physical]Data[10 03];
4.Delay[1000]ms;
5.Send DiagBy[Physical]Data[10 02];
6.Send DiagBy[Physical]Data[10 03];
7.Send DiagBy[Physical]Data[11 01];
8.Delay[1000]ms;</t>
  </si>
  <si>
    <t>1.Check DiagData[50 01 00 32 00 C8]Within[50]ms;
3.Check DiagData[50 03 00 32 00 C8]Within[50]ms;
5.Check DiagData[50 02 00 32 00 C8]Within[50]ms;
6.Check DiagData[50 03 00 32 00 C8]Within[50]ms;
7.Check DiagData[51 01]Within[50]ms;</t>
  </si>
  <si>
    <t>Diag_0x11_Phy_027</t>
  </si>
  <si>
    <t>Boot Programming Session support the 0x11 service 0x01 subfunction with SPRMIB</t>
  </si>
  <si>
    <t>Diag_0x11_Phy_028</t>
  </si>
  <si>
    <t>Boot Extended Session support the 0x11 service 0x01 subfunction with SPRMIB</t>
  </si>
  <si>
    <t>1.Send DiagBy[Physical]Data[10 01];
2.Delay[1000]ms;
3.Send DiagBy[Physical]Data[10 03];
4.Delay[1000]ms;
5.Send DiagBy[Physical]Data[10 02];
6.Send DiagBy[Physical]Data[10 03];
7.Send DiagBy[Physical]Data[11 81];</t>
  </si>
  <si>
    <t>1.Check DiagData[50 01 00 32 00 C8]Within[50]ms;
3.Check DiagData[50 03 00 32 00 C8]Within[50]ms;
5.Check DiagData[50 02 00 32 00 C8]Within[50]ms;
6.Check DiagData[50 03 00 32 00 C8]Within[50]ms;
7.Check DiagData[7F 11 12]Within[50]ms;</t>
  </si>
  <si>
    <t>Diag_0x11_Phy_029</t>
  </si>
  <si>
    <t>Boot Default Session nonsupport 0x11 services with SPRMIB</t>
  </si>
  <si>
    <t>1.Send DiagBy[Physical]Data[10 01];
2.Delay[1000]ms;
3.Send DiagBy[Physical]Data[10 03];
4.Delay[1000]ms;
5.Send DiagBy[Physical]Data[10 02];
6.Send DiagBy[Physical]Data[10 01];
7.Send DiagBy[Physical]Data[11 81];</t>
  </si>
  <si>
    <t>Diag_0x11_Phy_030</t>
  </si>
  <si>
    <t>Boot Security access L1 unlock supports 0x11 service 0x01 subfunction</t>
  </si>
  <si>
    <t>1.Send DiagBy[Physical]Data[10 01];
2.Delay[1000]ms;
3.Send DiagBy[Physical]Data[10 03];
4.Delay[1000]ms;
5.Send DiagBy[Physical]Data[10 02];
6.Send DiagBy[Physical]Data[27 01]AndCheckResp[PositiveResponse];
7.Send Security Right KeyBy[Physical]Level[02];
8.Send DiagBy[Physical]Data[11 01];
9.Delay[1000]ms;</t>
  </si>
  <si>
    <t>1.Check DiagData[50 01 00 32 00 C8]Within[50]ms;
3.Check DiagData[50 03 00 32 00 C8]Within[50]ms;
5.Check DiagData[50 02 00 32 00 C8]Within[50]ms;
7.Check DiagData[67 02]Within[50]ms;
8.Check DiagData[51 01]Within[50]ms;</t>
  </si>
  <si>
    <t>Diag_0x11_Phy_031</t>
  </si>
  <si>
    <t>Boot 0x11 Service 0x01 subfunction non-Default Session to Default Session</t>
  </si>
  <si>
    <t>1.Send DiagBy[Physical]Data[10 01];
2.Delay[1000]ms;
3.Send DiagBy[Physical]Data[10 03];
4.Delay[1000]ms;
5.Send DiagBy[Physical]Data[10 02];
6.Send DiagBy[Physical]Data[10 03];
7.Send DiagBy[Physical]Data[11 01];
8.Delay[1000]ms;
9.Send DiagBy[Physical]Data[22 F6 C3];</t>
  </si>
  <si>
    <t>1.Check DiagData[50 01 00 32 00 C8]Within[50]ms;
3.Check DiagData[50 03 00 32 00 C8]Within[50]ms;
5.Check DiagData[50 02 00 32 00 C8]Within[50]ms;
6.Check DiagData[50 03 00 32 00 C8]Within[50]ms;
7.Check DiagData[51 01]Within[50]ms;
9.Check DiagData[62 F6 C3]Within[50]ms;</t>
  </si>
  <si>
    <t>Diag_0x11_Phy_032</t>
  </si>
  <si>
    <t>Boot 0x11 Service 0x01 subfunction Security access reset</t>
  </si>
  <si>
    <t>1.Send DiagBy[Physical]Data[10 01];
2.Delay[1000]ms;
3.Send DiagBy[Physical]Data[10 03];
4.Delay[1000]ms;
5.Send DiagBy[Physical]Data[10 02];
6.Send DiagBy[Physical]Data[27 01]AndCheckResp[PositiveResponse];
7.Send Security Right KeyBy[Physical]Level[02];
8.Send DiagBy[Physical]Data[11 01];
9.Delay[1000]ms;
10.Send DiagBy[Physical]Data[22 F6 C3];
11.Send DiagBy[Physical]Data[10 03];
12.Send DiagBy[Physical]Data[27 01];</t>
  </si>
  <si>
    <t>1.Check DiagData[50 01 00 32 00 C8]Within[50]ms;
3.Check DiagData[50 03 00 32 00 C8]Within[50]ms;
5.Check DiagData[50 02 00 32 00 C8]Within[50]ms;
7.Check DiagData[67 02]Within[50]ms;
8.Check DiagData[51 01]Within[50]ms;
10.Check DiagData[62 F6 C3]Within[50]ms;
11.Check DiagData[50 03 00 32 00 C8]Within[50]ms;
12.Check DiagData[67 01]Within[50]ms;</t>
  </si>
  <si>
    <t>Diag_0x11_Phy_033</t>
  </si>
  <si>
    <t>Boot 0x11 Service 0x01 subfunction communication control state reset</t>
  </si>
  <si>
    <t>1.Send DiagBy[Physical]Data[10 01];
2.Delay[1000]ms;
3.Send DiagBy[Physical]Data[10 03];
4.Delay[1000]ms;
5.Send DiagBy[Physical]Data[10 02];
6.Send DiagBy[Physical]Data[28 01 01];
7.Send DiagBy[Physical]Data[11 01];
8.Delay[1000]ms;
9.Send DiagBy[Physical]Data[22 F6 C3];</t>
  </si>
  <si>
    <t>1.Check DiagData[50 01 00 32 00 C8]Within[50]ms;
3.Check DiagData[50 03 00 32 00 C8]Within[50]ms;
5.Check DiagData[50 02 00 32 00 C8]Within[50]ms;
6.Check DiagData[68 01]Within[50]ms;
7.Check DiagData[51 01]Within[50]ms;
9.Check DiagData[62 F6 C3]Within[50]ms;</t>
  </si>
  <si>
    <t>Diag_0x11_Phy_034</t>
  </si>
  <si>
    <t>Boot Subfunction traversal test in the Default Session</t>
  </si>
  <si>
    <t>1.Send DiagBy[Physical]Data[10 01];
2.Delay[1000]ms;
3.Send DiagBy[Physical]Data[10 03];
4.Delay[1000]ms;
5.Send DiagBy[Physical]Data[10 02];
6.Send DiagBy[Physical]Data[10 01];
7.Send SubTraversalBy[Physical]Service[0x11]Excluding[01 81]AndCheckResp[0x7F];</t>
  </si>
  <si>
    <t>1.Check DiagData[50 01 00 32 00 C8]Within[50]ms;
3.Check DiagData[50 03 00 32 00 C8]Within[50]ms;
5.Check DiagData[50 02 00 32 00 C8]Within[50]ms;
6.Check DiagData[50 01 00 32 00 C8]Within[50]ms;</t>
  </si>
  <si>
    <t>Diag_0x11_Phy_035</t>
  </si>
  <si>
    <t>Boot Subfunction traversal test in the Programming Session</t>
  </si>
  <si>
    <t>Diag_0x11_Phy_036</t>
  </si>
  <si>
    <t>Boot Subfunction traversal test in the Extended Session</t>
  </si>
  <si>
    <t>1.Send DiagBy[Physical]Data[10 01];
2.Delay[1000]ms;
3.Send DiagBy[Physical]Data[10 03];
4.Delay[1000]ms;
5.Send DiagBy[Physical]Data[10 02];
6.Send DiagBy[Physical]Data[10 03];
7.Send SubTraversalBy[Physical]Service[0x11]Excluding[01 81]AndCheckResp[0x12];</t>
  </si>
  <si>
    <t>1.Check DiagData[50 01 00 32 00 C8]Within[50]ms;
3.Check DiagData[50 03 00 32 00 C8]Within[50]ms;
5.Check DiagData[50 02 00 32 00 C8]Within[50]ms;
6.Check DiagData[50 03 00 32 00 C8]Within[50]ms;</t>
  </si>
  <si>
    <t>Diag_0x11_Phy_037</t>
  </si>
  <si>
    <t>Boot When a diagnostic message with DLC &lt; 8 is sent, ECU does not respond</t>
  </si>
  <si>
    <t>1.Send DiagBy[Physical]Data[10 01];
2.Delay[1000]ms;
3.Send DiagBy[Physical]Data[10 03];
4.Delay[1000]ms;
5.Send DiagBy[Physical]Data[10 02];
6.Send Msg[ReqCANID]Data[02 11 01]WithDLC[7];</t>
  </si>
  <si>
    <t>1.Check DiagData[50 01 00 32 00 C8]Within[50]ms;
3.Check DiagData[50 03 00 32 00 C8]Within[50]ms;
5.Check DiagData[50 02 00 32 00 C8]Within[50]ms;
6.Check No_Response Within[1000]ms;</t>
  </si>
  <si>
    <t>Diag_0x11_Phy_038</t>
  </si>
  <si>
    <t>Boot When a diagnostic message with DLC &gt; 8 is sent, ECU responds normally</t>
  </si>
  <si>
    <t>1.Send DiagBy[Physical]Data[10 01];
2.Delay[1000]ms;
3.Send DiagBy[Physical]Data[10 03];
4.Delay[1000]ms;
5.Send DiagBy[Physical]Data[10 02];
6.Send Msg[ReqCANID]Data[02 11 01]WithDLC[9];</t>
  </si>
  <si>
    <t>Diag_0x11_Phy_039</t>
  </si>
  <si>
    <t>Boot NRC 13(min Size) &gt; 12</t>
  </si>
  <si>
    <t>1.Send DiagBy[Physical]Data[10 01];
2.Delay[1000]ms;
3.Send DiagBy[Physical]Data[10 03];
4.Delay[1000]ms;
5.Send DiagBy[Physical]Data[10 02];
6.Send Msg[ReqCANID]Data[01 11]WithDLC[8];</t>
  </si>
  <si>
    <t>1.Check DiagData[50 01 00 32 00 C8]Within[50]ms;
3.Check DiagData[50 03 00 32 00 C8]Within[50]ms;
5.Check DiagData[50 02 00 32 00 C8]Within[50]ms;
6.Check DiagData[7F 11 13]Within[50]ms;</t>
  </si>
  <si>
    <t>Diag_0x11_Phy_040</t>
  </si>
  <si>
    <t>Boot NRC 12 &gt; 7E</t>
  </si>
  <si>
    <t>1.Send DiagBy[Physical]Data[10 01];
2.Delay[1000]ms;
3.Send DiagBy[Physical]Data[10 03];
4.Delay[1000]ms;
5.Send DiagBy[Physical]Data[10 02];
6.Send DiagBy[Physical]Data[10 01];
7.Send DiagBy[Physical]Data[11 02];</t>
  </si>
  <si>
    <t>1.Check DiagData[50 01 00 32 00 C8]Within[50]ms;
3.Check DiagData[50 03 00 32 00 C8]Within[50]ms;
5.Check DiagData[50 02 00 32 00 C8]Within[50]ms;
6.Check DiagData[50 01 00 32 00 C8]Within[50]ms;
7.Check DiagData[7F 11 12]Within[50]ms;</t>
  </si>
  <si>
    <t>Diag_0x11_Phy_041</t>
  </si>
  <si>
    <t>Boot NRC 7E &gt; 22</t>
  </si>
  <si>
    <t>Diag_0x11_Phy_042</t>
  </si>
  <si>
    <t>Boot When the preset voltage condition is not met (low), NRC 0x22 is reported</t>
  </si>
  <si>
    <t>1.Send DiagBy[Physical]Data[10 01];
2.Delay[1000]ms;
3.Send DiagBy[Physical]Data[10 03];
4.Delay[1000]ms;
5.Send DiagBy[Physical]Data[10 02];
6.Set Voltage[6.8]V;
7.Delay[3000]ms;
8.Send DiagBy[Physical]Data[11 01];</t>
  </si>
  <si>
    <t>1.Check DiagData[50 01 00 32 00 C8]Within[50]ms;
3.Check DiagData[50 03 00 32 00 C8]Within[50]ms;
5.Check DiagData[50 02 00 32 00 C8]Within[50]ms;
8.Check DiagData[7F 11 22]Within[50]ms;</t>
  </si>
  <si>
    <t>Diag_0x11_Phy_043</t>
  </si>
  <si>
    <t>Boot When the preset voltage condition is not met (high), NRC 0x22 is reported</t>
  </si>
  <si>
    <t>1.Send DiagBy[Physical]Data[10 01];
2.Delay[1000]ms;
3.Send DiagBy[Physical]Data[10 03];
4.Delay[1000]ms;
5.Send DiagBy[Physical]Data[10 02];
6.Set Voltage[18.0]V;
7.Delay[3000]ms;
8.Send DiagBy[Physical]Data[11 01];</t>
  </si>
  <si>
    <t>3.7 Functional Addressing Test</t>
  </si>
  <si>
    <t>Diag_0x11_Phy_044</t>
  </si>
  <si>
    <t>Boot 0x11 Service nonsupport functional addressing subfunction 0x01</t>
  </si>
  <si>
    <t>1.Send DiagBy[Physical]Data[10 01];
2.Delay[1000]ms;
3.Send DiagBy[Physical]Data[10 03];
4.Delay[1000]ms;
5.Send DiagBy[Physical]Data[10 02];
6.Send DiagBy[Function]Data[11 01];
7.Delay[1000]ms;</t>
  </si>
  <si>
    <t>Diag_0x11_Phy_045</t>
  </si>
  <si>
    <t>Boot 0x11 Service nonsupport functional addressing subfunction 0x02</t>
  </si>
  <si>
    <t>1.Send DiagBy[Physical]Data[10 01];
2.Delay[1000]ms;
3.Send DiagBy[Physical]Data[10 03];
4.Delay[1000]ms;
5.Send DiagBy[Physical]Data[10 02];
6.Send DiagBy[Function]Data[11 02];
7.Delay[1000]ms;</t>
  </si>
  <si>
    <t>Diag_0x11_Phy_046</t>
  </si>
  <si>
    <t>Boot 0x11 Service nonsupport functional addressing subfunction 0x03</t>
  </si>
  <si>
    <t>1.Send DiagBy[Physical]Data[10 01];
2.Delay[1000]ms;
3.Send DiagBy[Physical]Data[10 03];
4.Delay[1000]ms;
5.Send DiagBy[Physical]Data[10 02];
6.Send DiagBy[Function]Data[11 03];
7.Delay[1000]ms;</t>
  </si>
  <si>
    <t>Diag_0x14_Phy_001</t>
  </si>
  <si>
    <t>Default Session nonsupport 0x14 services</t>
  </si>
  <si>
    <t>1. Send DiagBy[Physical]Data[10 01];
2. Send DiagBy[Physical]Data[14 FF FF FF];</t>
  </si>
  <si>
    <t>1. Check DiagData[50 01 XX XX XX XX]Within[50]ms;
2. Check DiagData[7F 14 11]Within[50]ms;</t>
  </si>
  <si>
    <t>Diag_0x14_Phy_002</t>
  </si>
  <si>
    <t>Extended Session nonsupport 0x14 services</t>
  </si>
  <si>
    <t>1. Send DiagBy[Physical]Data[10 01];
2. Send DiagBy[Physical]Data[10 03];
3. Send DiagBy[Physical]Data[14 FF FF FF];</t>
  </si>
  <si>
    <t>1. Check DiagData[50 01 XX XX XX XX]Within[50]ms;
2. Check DiagData[50 03 XX XX XX XX]Within[50]ms;
3. Check DiagData[7F 14 11]Within[50]ms;</t>
  </si>
  <si>
    <t>Diag_0x14_Phy_003</t>
  </si>
  <si>
    <t>Programming Session nonsupport 0x14 services</t>
  </si>
  <si>
    <t>1. Send DiagBy[Physical]Data[10 01];
2. Delay[1000]ms;
3. Send DiagBy[Physical]Data[10 03];
4. Send DiagBy[Physical]Data[31 01 02 03];
5. Send DiagBy[Physical]Data[10 02];
6. Send DiagBy[Physical]Data[14 FF FF FF];</t>
  </si>
  <si>
    <t>1. Check DiagData[50 01 XX XX XX XX]Within[50]ms;
3. Check DiagData[50 03 XX XX XX XX]Within[50]ms;
4. Check DiagData[71 01 02 03 00]Within[50]ms;
5. Check DiagData[50 02 XX XX XX XX]Within[50]ms;
6. Check DiagData[7F 14 11]Within[50]ms;</t>
  </si>
  <si>
    <t>2. Application Service_Functional Addressing</t>
  </si>
  <si>
    <t>1. Send DiagBy[Physical]Data[10 01];
2. Send DiagBy[Function]Data[14 FF FF FF];</t>
  </si>
  <si>
    <t>1. Check DiagData[50 01 XX XX XX XX]Within[50]ms;
2. Check No_Response Within[1000]ms;</t>
  </si>
  <si>
    <t>Diag_0x14_Fun_002</t>
  </si>
  <si>
    <t>1. Send DiagBy[Physical]Data[10 01];
2. Send DiagBy[Physical]Data[10 03];
3. Send DiagBy[Function]Data[14 FF FF FF];</t>
  </si>
  <si>
    <t>1. Check DiagData[50 01 XX XX XX XX]Within[50]ms;
2. Check DiagData[50 03 XX XX XX XX]Within[50]ms;
3. Check No_Response Within[1000]ms;</t>
  </si>
  <si>
    <t>Diag_0x14_Fun_003</t>
  </si>
  <si>
    <t>1. Send DiagBy[Physical]Data[10 01];
2. Delay[1000]ms;
3. Send DiagBy[Physical]Data[10 03];
4. Send DiagBy[Physical]Data[31 01 02 03];
5. Send DiagBy[Physical]Data[10 02];
6. Send DiagBy[Function]Data[14 FF FF FF];</t>
  </si>
  <si>
    <t>1. Check DiagData[50 01 XX XX XX XX]Within[50]ms;
3. Check DiagData[50 03 XX XX XX XX]Within[50]ms;
4. Check DiagData[71 01 02 03 00]Within[50]ms;
5. Check DiagData[50 02 XX XX XX XX]Within[50]ms;
6. Check No_Response Within[1000]ms;</t>
  </si>
  <si>
    <t>Diag_0x14_Phy_004</t>
  </si>
  <si>
    <t>1. Send DiagBy[Physical]Data[10 01];
2. Delay[1000]ms;
3. Send DiagBy[Physical]Data[10 03];
4. Send DiagBy[Physical]Data[31 01 02 03];
5. Send DiagBy[Physical]Data[10 02];
6. Send DiagBy[Physical]Data[10 01];
7. Send DiagBy[Physical]Data[14 FF FF FF];</t>
  </si>
  <si>
    <t>1. Check DiagData[50 01 XX XX XX XX]Within[50]ms;
3. Check DiagData[50 03 XX XX XX XX]Within[50]ms;
4. Check DiagData[71 01 02 03 00]Within[50]ms;
5. Check DiagData[50 02 XX XX XX XX]Within[50]ms;
6. Check DiagData[50 01 XX XX XX XX]Within[50]ms;
7. Check DiagData[7F 14 11]Within[50]ms;</t>
  </si>
  <si>
    <t>Diag_0x14_Phy_005</t>
  </si>
  <si>
    <t>Diag_0x14_Phy_006</t>
  </si>
  <si>
    <t>1. Send DiagBy[Physical]Data[10 01];
2. Delay[1000]ms;
3. Send DiagBy[Physical]Data[10 03];
4. Send DiagBy[Physical]Data[31 01 02 03];
5. Send DiagBy[Physical]Data[10 02];
6. Send DiagBy[Physical]Data[10 03];
7. Send DiagBy[Physical]Data[14 FF FF FF];</t>
  </si>
  <si>
    <t>1. Check DiagData[50 01 XX XX XX XX]Within[50]ms;
3. Check DiagData[50 03 XX XX XX XX]Within[50]ms;
4. Check DiagData[71 01 02 03 00]Within[50]ms;
5. Check DiagData[50 02 XX XX XX XX]Within[50]ms;
6. Check DiagData[50 03 XX XX XX XX]Within[50]ms;
7. Check DiagData[7F 14 11]Within[50]ms;</t>
  </si>
  <si>
    <t>4. Boot Service_Functional Addressing</t>
  </si>
  <si>
    <t>Diag_0x14_Fun_004</t>
  </si>
  <si>
    <t>1. Check DiagData[50 01 XX XX XX XX]Within[50]ms;
3. Check DiagData[50 03 XX XX XX XX]Within[50]ms;
4. Check DiagData[71 01 02 03 00]Within[50]ms;
5. Check DiagData[50 02 XX XX XX XX]Within[50]ms;
6. Check DiagData[50 01 XX XX XX XX]Within[50]ms;
7. Check No_Response Within[1000]ms;</t>
  </si>
  <si>
    <t>Diag_0x14_Fun_005</t>
  </si>
  <si>
    <t>Diag_0x14_Fun_006</t>
  </si>
  <si>
    <t>1. Send DiagBy[Physical]Data[10 01];
2. Delay[1000]ms;
3. Send DiagBy[Physical]Data[10 03];
4. Send DiagBy[Physical]Data[31 01 02 03];
5. Send DiagBy[Physical]Data[10 02];
6. Send DiagBy[Physical]Data[10 03];
7. Send DiagBy[Function]Data[14 FF FF FF];</t>
  </si>
  <si>
    <t>1. Check DiagData[50 01 XX XX XX XX]Within[50]ms;
3. Check DiagData[50 03 XX XX XX XX]Within[50]ms;
4. Check DiagData[71 01 02 03 00]Within[50]ms;
5. Check DiagData[50 02 XX XX XX XX]Within[50]ms;
6. Check DiagData[50 03 XX XX XX XX]Within[50]ms;
7. Check No_Response Within[1000]ms;</t>
  </si>
  <si>
    <t>APP 域 Physical 寻址测试用例</t>
  </si>
  <si>
    <t>1.1 Session Layer Test (APP)</t>
  </si>
  <si>
    <t>Diag_0x27_Phy_001</t>
  </si>
  <si>
    <t>Default Session nonsupport 0x27 Service security access level 1 Negativecase-$27</t>
  </si>
  <si>
    <t>1.Check DiagData[50 01 XX XX XX XX]Within[50]ms;</t>
  </si>
  <si>
    <t>Diag_0x27_Phy_002</t>
  </si>
  <si>
    <t>Default Session nonsupport 0x27 Service security access level 2 Negativecase-$27</t>
  </si>
  <si>
    <t>1.Send DiagBy[Physical]Data[10 01];
2.Send DiagBy[Physical]Data[27 03]AndCheckResp[7F 27 7F];</t>
  </si>
  <si>
    <t>Diag_0x27_Phy_003</t>
  </si>
  <si>
    <t>Programming Session support 0x27 Service security access level 1 PositiveResponsecase-$27</t>
  </si>
  <si>
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</t>
  </si>
  <si>
    <t>1.Check DiagData[50 01 XX XX XX XX]Within[50]ms;
3.Check DiagData[50 03 XX XX XX XX]Within[50]ms;
4.Check DiagData[71 01 02 03 00]Within[50]ms;
5.Check DiagData[50 02 XX XX XX XX]Within[50]ms;
7.Check DiagData[67 02]Within[50]ms;</t>
  </si>
  <si>
    <t>Diag_0x27_Phy_004</t>
  </si>
  <si>
    <t>Programming Session support 0x27 Service security access level 2 PositiveResponsecase-$27</t>
  </si>
  <si>
    <t>1.Send DiagBy[Physical]Data[10 01];
2.Delay[1000]ms;
3.Send DiagBy[Physical]Data[10 03];
4.Send DiagBy[Physical]Data[31 01 02 03];
5.Send DiagBy[Physical]Data[10 02];
6.Send DiagBy[Physical]Data[27 03]AndCheckResp[PositiveResponse];
7.Send Security Right KeyBy[Physical]Level[04];</t>
  </si>
  <si>
    <t>1.Check DiagData[50 01 XX XX XX XX]Within[50]ms;
3.Check DiagData[50 03 XX XX XX XX]Within[50]ms;
4.Check DiagData[71 01 02 03 00]Within[50]ms;
5.Check DiagData[50 02 XX XX XX XX]Within[50]ms;
7.Check DiagData[67 04]Within[50]ms;</t>
  </si>
  <si>
    <t>Diag_0x27_Phy_005</t>
  </si>
  <si>
    <t>Extended Session support 0x27 Service security access level 1 PositiveResponsecase-$27</t>
  </si>
  <si>
    <t>1.Send DiagBy[Physical]Data[10 03];
2.Send DiagBy[Physical]Data[27 01]AndCheckResp[PositiveResponse];
3.Send Security Right KeyBy[Physical]Level[02];</t>
  </si>
  <si>
    <t>1.Check DiagData[50 03 XX XX XX XX]Within[50]ms;
3.Check DiagData[67 02]Within[50]ms;</t>
  </si>
  <si>
    <t>Diag_0x27_Phy_006</t>
  </si>
  <si>
    <t>Extended Session support 0x27 Service security access level 2 PositiveResponsecase-$27</t>
  </si>
  <si>
    <t>1.Check DiagData[50 03 XX XX XX XX]Within[50]ms;
3.Check DiagData[67 04]Within[50]ms;</t>
  </si>
  <si>
    <t>1.2 Secure Access Process Test (APP)</t>
  </si>
  <si>
    <t>Diag_0x27_Phy_007</t>
  </si>
  <si>
    <t>Does not meet the secure access process, only requests seeds, a negative test case where secure access cannot be unlocked</t>
  </si>
  <si>
    <t>1.Send DiagBy[Physical]Data[10 03];
2.Send DiagBy[Physical]Data[27 01]AndCheckResp[PositiveResponse];</t>
  </si>
  <si>
    <t>1.Check DiagData[50 03 XX XX XX XX]Within[50]ms;</t>
  </si>
  <si>
    <t>Diag_0x27_Phy_008</t>
  </si>
  <si>
    <t>Does not meet the secure access process, only sending the key; a negative test case</t>
  </si>
  <si>
    <t>1.Send DiagBy[Physical]Data[10 03];
2.Send DiagBy[Physical]Data[27 02];</t>
  </si>
  <si>
    <t>1.Check DiagData[50 03 XX XX XX XX]Within[50]ms;
2.Check DiagData[7F 27 24]Within[50]ms;</t>
  </si>
  <si>
    <t>Diag_0x27_Phy_009</t>
  </si>
  <si>
    <t>Meet the secure access process: request the seed first, then send the key – a PositiveResponse use case</t>
  </si>
  <si>
    <t>Diag_0x27_Phy_010</t>
  </si>
  <si>
    <t>Failure to comply with the secure access process: sending the key first, then requesting the seed - same level</t>
  </si>
  <si>
    <t>1.Send DiagBy[Physical]Data[10 03];
2.Send DiagBy[Physical]Data[27 02];
3.Send DiagBy[Physical]Data[27 01]AndCheckResp[PositiveResponse];</t>
  </si>
  <si>
    <t>Diag_0x27_Phy_011</t>
  </si>
  <si>
    <t>Failure to comply with the secure access process: sending the key first, then requesting the seed - cross level</t>
  </si>
  <si>
    <t>1.Send DiagBy[Physical]Data[10 03];
2.Send DiagBy[Physical]Data[27 04];
3.Send DiagBy[Physical]Data[27 01]AndCheckResp[PositiveResponse];</t>
  </si>
  <si>
    <t>Diag_0x27_Phy_012</t>
  </si>
  <si>
    <t>Repeated seed requests return the same seed data - PositiveResponse</t>
  </si>
  <si>
    <t>1.Send DiagBy[Physical]Data[10 03];
2.Send DiagBy[Physical]Data[27 01]AndCheckResp[PositiveResponse];
3.Send DiagBy[Physical]Data[27 01]AndCheckResp[PositiveResponse];</t>
  </si>
  <si>
    <t>Diag_0x27_Phy_013</t>
  </si>
  <si>
    <t>After successful unlock, request seed returns all zeros - PositiveResponse</t>
  </si>
  <si>
    <t>1.Send DiagBy[Physical]Data[10 03];
2.Send DiagBy[Physical]Data[27 01]AndCheckResp[PositiveResponse];
3.Send Security Right KeyBy[Physical]Level[02];
4.Send DiagBy[Physical]Data[27 01]AndCheckResp[PositiveResponse];</t>
  </si>
  <si>
    <t>1.3 Security Access Mechanism Test (APP) — Path A: Wrong Key</t>
  </si>
  <si>
    <t>Diag_0x27_Phy_014</t>
  </si>
  <si>
    <t>Meets the maximum of 3 failed attempts (wrong key); does not meet the reverse test case with a lockout time of 10 seconds</t>
  </si>
  <si>
    <t>1.Send DiagBy[Physical]Data[10 03];
2.Send DiagBy[Physical]Data[27 01]AndCheckResp[PositiveResponse];
3.Send Security Wrong KeyBy[Physical]Level[02];
4.Send DiagBy[Physical]Data[27 01]AndCheckResp[PositiveResponse];
5.Send Security Wrong KeyBy[Physical]Level[02];
6.Send DiagBy[Physical]Data[27 01]AndCheckResp[PositiveResponse];
7.Send Security Wrong KeyBy[Physical]Level[02];
8.Send DiagBy[Physical]Data[27 01]AndCheckResp[7F 27 37];</t>
  </si>
  <si>
    <t>1.Check DiagData[50 03 XX XX XX XX]Within[50]ms;
3.Check DiagData[7F 27 35]Within[50]ms;
5.Check DiagData[7F 27 35]Within[50]ms;
7.Check DiagData[7F 27 36]Within[50]ms;</t>
  </si>
  <si>
    <t>Diag_0x27_Phy_015</t>
  </si>
  <si>
    <t>A PositiveResponse test case that meets a maximum of 3 failed attempts (wrong key) and a lockout duration of 10 seconds</t>
  </si>
  <si>
    <t>1.Send DiagBy[Physical]Data[10 03];
2.Send DiagBy[Physical]Data[27 01]AndCheckResp[PositiveResponse];
3.Send Security Wrong KeyBy[Physical]Level[02];
4.Send DiagBy[Physical]Data[27 01]AndCheckResp[PositiveResponse];
5.Send Security Wrong KeyBy[Physical]Level[02];
6.Send DiagBy[Physical]Data[27 01]AndCheckResp[PositiveResponse];
7.Send Security Wrong KeyBy[Physical]Level[02];
8.Delay[10000]ms;
9.Send DiagBy[Physical]Data[27 01]AndCheckResp[PositiveResponse];</t>
  </si>
  <si>
    <t>Diag_0x27_Phy_016</t>
  </si>
  <si>
    <t>A negative test case where the maximum number of secure access attempts (with incorrect keys) is reached and the 10-second delay has not expired</t>
  </si>
  <si>
    <t>1.Send DiagBy[Physical]Data[10 03];
2.Send DiagBy[Physical]Data[27 01]AndCheckResp[PositiveResponse];
3.Send Security Wrong KeyBy[Physical]Level[02];
4.Send DiagBy[Physical]Data[27 01]AndCheckResp[PositiveResponse];
5.Send Security Wrong KeyBy[Physical]Level[02];
6.Send DiagBy[Physical]Data[27 01]AndCheckResp[PositiveResponse];
7.Send Security Wrong KeyBy[Physical]Level[02];
8.Delay[5000]ms;
9.Send DiagBy[Physical]Data[27 01]AndCheckResp[7F 27 37];</t>
  </si>
  <si>
    <t>Diag_0x27_Phy_017</t>
  </si>
  <si>
    <t>When the maximum number of safe access attempts (wrong key) = 4 is reached, successfully unlock once to reset counter</t>
  </si>
  <si>
    <t>1.Send DiagBy[Physical]Data[10 03];
2.Send DiagBy[Physical]Data[27 01]AndCheckResp[PositiveResponse];
3.Send Security Wrong KeyBy[Physical]Level[02];
4.Send DiagBy[Physical]Data[27 01]AndCheckResp[PositiveResponse];
5.Send Security Wrong KeyBy[Physical]Level[02];
6.Send DiagBy[Physical]Data[27 01]AndCheckResp[PositiveResponse];
7.Send Security Right KeyBy[Physical]Level[02];
8.Send DiagBy[Physical]Data[10 01];
9.Send DiagBy[Physical]Data[10 03];
10.Send DiagBy[Physical]Data[27 01]AndCheckResp[PositiveResponse];
11.Send Security Wrong KeyBy[Physical]Level[02];
12.Send DiagBy[Physical]Data[27 01]AndCheckResp[PositiveResponse];
13.Send Security Wrong KeyBy[Physical]Level[02];
14.Send DiagBy[Physical]Data[27 01]AndCheckResp[PositiveResponse];
15.Send Security Wrong KeyBy[Physical]Level[02];
16.Send DiagBy[Physical]Data[27 01]AndCheckResp[7F 27 37];</t>
  </si>
  <si>
    <t>1.Check DiagData[50 03 XX XX XX XX]Within[50]ms;
3.Check DiagData[7F 27 35]Within[50]ms;
5.Check DiagData[7F 27 35]Within[50]ms;
7.Check DiagData[67 02]Within[50]ms;
8.Check DiagData[50 01 XX XX XX XX]Within[50]ms;
9.Check DiagData[50 03 XX XX XX XX]Within[50]ms;
11.Check DiagData[7F 27 35]Within[50]ms;
13.Check DiagData[7F 27 35]Within[50]ms;
15.Check DiagData[7F 27 36]Within[50]ms;</t>
  </si>
  <si>
    <t>Diag_0x27_Phy_018</t>
  </si>
  <si>
    <t>SAcounter equals 3 after reset when FAAflag = True (wrong key path) - PositiveResponse</t>
  </si>
  <si>
    <t>1.Send DiagBy[Physical]Data[10 03];
2.Send DiagBy[Physical]Data[27 01]AndCheckResp[PositiveResponse];
3.Send Security Wrong KeyBy[Physical]Level[02];
4.Send DiagBy[Physical]Data[27 01]AndCheckResp[PositiveResponse];
5.Send Security Wrong KeyBy[Physical]Level[02];
6.Send DiagBy[Physical]Data[27 01]AndCheckResp[PositiveResponse];
7.Send Security Wrong KeyBy[Physical]Level[02];
8.Set Voltage[0]V;
9.Delay[1000]ms;
10.Set Voltage[12]V;
11.Delay[1000]ms;
12.Send DiagBy[Physical]Data[10 03];
13.Send DiagBy[Physical]Data[27 01]AndCheckResp[7F 27 37];</t>
  </si>
  <si>
    <t>1.Check DiagData[50 03 XX XX XX XX]Within[50]ms;
3.Check DiagData[7F 27 35]Within[50]ms;
5.Check DiagData[7F 27 35]Within[50]ms;
7.Check DiagData[7F 27 36]Within[50]ms;
12.Check DiagData[50 03 XX XX XX XX]Within[50]ms;</t>
  </si>
  <si>
    <t>Diag_0x27_Phy_019</t>
  </si>
  <si>
    <t>Hardware reset enabled 10s delay time (wrong key path) - PositiveResponse</t>
  </si>
  <si>
    <t>1.Send DiagBy[Physical]Data[10 03];
2.Send DiagBy[Physical]Data[27 01]AndCheckResp[PositiveResponse];
3.Send Security Wrong KeyBy[Physical]Level[02];
4.Send DiagBy[Physical]Data[27 01]AndCheckResp[PositiveResponse];
5.Send Security Wrong KeyBy[Physical]Level[02];
6.Send DiagBy[Physical]Data[27 01]AndCheckResp[PositiveResponse];
7.Send Security Wrong KeyBy[Physical]Level[02];
8.Set Voltage[0]V;
9.Delay[1000]ms;
10.Set Voltage[12]V;
11.Delay[1000]ms;
12.Send DiagBy[Physical]Data[10 03];
13.Delay[10000]ms;
14.Send DiagBy[Physical]Data[27 01]AndCheckResp[PositiveResponse];</t>
  </si>
  <si>
    <t>Diag_0x27_Phy_020</t>
  </si>
  <si>
    <t>Reverse test case for reaching the maximum number of safe access attempts (wrong key) and the 10-second delay - 4th attempt triggers lock</t>
  </si>
  <si>
    <t>1.Send DiagBy[Physical]Data[10 03];
2.Send DiagBy[Physical]Data[27 01]AndCheckResp[PositiveResponse];
3.Send Security Wrong KeyBy[Physical]Level[02];
4.Send DiagBy[Physical]Data[27 01]AndCheckResp[PositiveResponse];
5.Send Security Wrong KeyBy[Physical]Level[02];
6.Send DiagBy[Physical]Data[27 01]AndCheckResp[PositiveResponse];
7.Send Security Wrong KeyBy[Physical]Level[02];
8.Delay[10000]ms;
9.Send DiagBy[Physical]Data[27 01]AndCheckResp[PositiveResponse];
10.Send Security Wrong KeyBy[Physical]Level[02];
11.Send DiagBy[Physical]Data[27 01]AndCheckResp[7F 27 37];</t>
  </si>
  <si>
    <t>1.Check DiagData[50 03 XX XX XX XX]Within[50]ms;
3.Check DiagData[7F 27 35]Within[50]ms;
5.Check DiagData[7F 27 35]Within[50]ms;
7.Check DiagData[7F 27 36]Within[50]ms;
10.Check DiagData[7F 27 36]Within[50]ms;</t>
  </si>
  <si>
    <t>1.4 Security Access Mechanism Test (APP) — Path B: Consecutive Seed Request</t>
  </si>
  <si>
    <t>Diag_0x27_Phy_021</t>
  </si>
  <si>
    <t>Meets the maximum of 3 failed attempts (request seed); does not meet the reverse test case with a lockout time of 10 seconds</t>
  </si>
  <si>
    <t>1.Send DiagBy[Physical]Data[10 03];
2.Send DiagBy[Physical]Data[27 01]AndCheckResp[PositiveResponse];
3.Send DiagBy[Physical]Data[27 01]AndCheckResp[PositiveResponse];
4.Send DiagBy[Physical]Data[27 01]AndCheckResp[PositiveResponse];
5.Send DiagBy[Physical]Data[27 01]AndCheckResp[7F 27 36];
6.Send DiagBy[Physical]Data[27 01]AndCheckResp[7F 27 37];</t>
  </si>
  <si>
    <t>Diag_0x27_Phy_022</t>
  </si>
  <si>
    <t>A PositiveResponse test case that meets a maximum of 3 failed attempts (request seed) and a lockout duration of 10 seconds</t>
  </si>
  <si>
    <t>1.Send DiagBy[Physical]Data[10 03];
2.Send DiagBy[Physical]Data[27 01]AndCheckResp[PositiveResponse];
3.Send DiagBy[Physical]Data[27 01]AndCheckResp[PositiveResponse];
4.Send DiagBy[Physical]Data[27 01]AndCheckResp[PositiveResponse];
5.Send DiagBy[Physical]Data[27 01]AndCheckResp[7F 27 36];
6.Delay[10000]ms;
7.Send DiagBy[Physical]Data[27 01]AndCheckResp[PositiveResponse];</t>
  </si>
  <si>
    <t>Diag_0x27_Phy_023</t>
  </si>
  <si>
    <t>A negative test case where the maximum number of secure access attempts (request seed) is reached and the 10-second delay has not expired</t>
  </si>
  <si>
    <t>1.Send DiagBy[Physical]Data[10 03];
2.Send DiagBy[Physical]Data[27 01]AndCheckResp[PositiveResponse];
3.Send DiagBy[Physical]Data[27 01]AndCheckResp[PositiveResponse];
4.Send DiagBy[Physical]Data[27 01]AndCheckResp[PositiveResponse];
5.Send DiagBy[Physical]Data[27 01]AndCheckResp[7F 27 36];
6.Delay[5000]ms;
7.Send DiagBy[Physical]Data[27 01]AndCheckResp[7F 27 37];</t>
  </si>
  <si>
    <t>Diag_0x27_Phy_024</t>
  </si>
  <si>
    <t>When the maximum number of safe access attempts (request seed) = 4 is reached, successfully unlock once to reset counter</t>
  </si>
  <si>
    <t>1.Send DiagBy[Physical]Data[10 03];
2.Send DiagBy[Physical]Data[27 01]AndCheckResp[PositiveResponse];
3.Send DiagBy[Physical]Data[27 01]AndCheckResp[PositiveResponse];
4.Send DiagBy[Physical]Data[27 01]AndCheckResp[PositiveResponse];
5.Send Security Right KeyBy[Physical]Level[02];
6.Send DiagBy[Physical]Data[10 01];
7.Send DiagBy[Physical]Data[10 03];
8.Send DiagBy[Physical]Data[27 01]AndCheckResp[PositiveResponse];
9.Send DiagBy[Physical]Data[27 01]AndCheckResp[PositiveResponse];
10.Send DiagBy[Physical]Data[27 01]AndCheckResp[PositiveResponse];
11.Send DiagBy[Physical]Data[27 01]AndCheckResp[7F 27 36];</t>
  </si>
  <si>
    <t>1.Check DiagData[50 03 XX XX XX XX]Within[50]ms;
5.Check DiagData[67 02]Within[50]ms;
6.Check DiagData[50 01 XX XX XX XX]Within[50]ms;
7.Check DiagData[50 03 XX XX XX XX]Within[50]ms;</t>
  </si>
  <si>
    <t>Diag_0x27_Phy_025</t>
  </si>
  <si>
    <t>SAcounter equals 3 after reset when FAAflag = True (request seed path) - PositiveResponse</t>
  </si>
  <si>
    <t>1.Send DiagBy[Physical]Data[10 03];
2.Send DiagBy[Physical]Data[27 01]AndCheckResp[PositiveResponse];
3.Send DiagBy[Physical]Data[27 01]AndCheckResp[PositiveResponse];
4.Send DiagBy[Physical]Data[27 01]AndCheckResp[PositiveResponse];
5.Send DiagBy[Physical]Data[27 01]AndCheckResp[7F 27 36];
6.Set Voltage[0]V;
7.Delay[1000]ms;
8.Set Voltage[12]V;
9.Delay[1000]ms;
10.Send DiagBy[Physical]Data[10 03];
11.Send DiagBy[Physical]Data[27 01]AndCheckResp[7F 27 37];</t>
  </si>
  <si>
    <t>1.Check DiagData[50 03 XX XX XX XX]Within[50]ms;
10.Check DiagData[50 03 XX XX XX XX]Within[50]ms;</t>
  </si>
  <si>
    <t>Diag_0x27_Phy_026</t>
  </si>
  <si>
    <t>Hardware reset enabled 10s delay time (request seed path) - PositiveResponse</t>
  </si>
  <si>
    <t>1.Send DiagBy[Physical]Data[10 03];
2.Send DiagBy[Physical]Data[27 01]AndCheckResp[PositiveResponse];
3.Send DiagBy[Physical]Data[27 01]AndCheckResp[PositiveResponse];
4.Send DiagBy[Physical]Data[27 01]AndCheckResp[PositiveResponse];
5.Send DiagBy[Physical]Data[27 01]AndCheckResp[7F 27 36];
6.Set Voltage[0]V;
7.Delay[1000]ms;
8.Set Voltage[12]V;
9.Delay[1000]ms;
10.Send DiagBy[Physical]Data[10 03];
11.Delay[10000]ms;
12.Send DiagBy[Physical]Data[27 01]AndCheckResp[PositiveResponse];</t>
  </si>
  <si>
    <t>Diag_0x27_Phy_027</t>
  </si>
  <si>
    <t>Reverse test case for reaching the maximum number of safe access attempts (request seed) and the 10-second delay - 4th attempt triggers lock</t>
  </si>
  <si>
    <t>1.Send DiagBy[Physical]Data[10 03];
2.Send DiagBy[Physical]Data[27 01]AndCheckResp[PositiveResponse];
3.Send DiagBy[Physical]Data[27 01]AndCheckResp[PositiveResponse];
4.Send DiagBy[Physical]Data[27 01]AndCheckResp[PositiveResponse];
5.Send DiagBy[Physical]Data[27 01]AndCheckResp[7F 27 36];
6.Delay[10000]ms;
7.Send DiagBy[Physical]Data[27 01]AndCheckResp[PositiveResponse];
8.Send DiagBy[Physical]Data[27 01]AndCheckResp[PositiveResponse];
9.Send DiagBy[Physical]Data[27 01]AndCheckResp[PositiveResponse];
10.Send DiagBy[Physical]Data[27 01]AndCheckResp[7F 27 36];</t>
  </si>
  <si>
    <t>1.5 Secure Access Time Test (APP)</t>
  </si>
  <si>
    <t>Diag_0x27_Phy_028</t>
  </si>
  <si>
    <t>Duration after unlocking: 5s - PositiveResponse Response Case-$27</t>
  </si>
  <si>
    <t>1.Send DiagBy[Physical]Data[10 03];
2.Send DiagBy[Physical]Data[27 01]AndCheckResp[PositiveResponse];
3.Send Security Right KeyBy[Physical]Level[02];
4.Delay[4900]ms;
5.Send DiagBy[Physical]Data[3E 00];
6.Delay[4900]ms;
7.Send DiagBy[Physical]Data[27 01]AndCheckResp[PositiveResponse];</t>
  </si>
  <si>
    <t>1.Check DiagData[50 03 XX XX XX XX]Within[50]ms;
3.Check DiagData[67 02]Within[50]ms;
5.Check DiagData[7E 00]Within[50]ms;</t>
  </si>
  <si>
    <t>1.6 ECU Reset Test (APP)</t>
  </si>
  <si>
    <t>Diag_0x27_Phy_029</t>
  </si>
  <si>
    <t>ECU power reset Session returns to the DefaultSession PositiveResponseCase-$27</t>
  </si>
  <si>
    <t>1.Send DiagBy[Physical]Data[10 03];
2.Send DiagBy[Physical]Data[27 01]AndCheckResp[PositiveResponse];
3.Send Security Right KeyBy[Physical]Level[02];
4.Set Voltage[0]V;
5.Delay[1000]ms;
6.Set Voltage[12]V;
7.Delay[1000]ms;
8.Send DiagBy[Physical]Data[10 03];
9.Send DiagBy[Physical]Data[27 01]AndCheckResp[PositiveResponse];</t>
  </si>
  <si>
    <t>1.Check DiagData[50 03 XX XX XX XX]Within[50]ms;
3.Check DiagData[67 02]Within[50]ms;
8.Check DiagData[50 03 XX XX XX XX]Within[50]ms;</t>
  </si>
  <si>
    <t>Diag_0x27_Phy_030</t>
  </si>
  <si>
    <t>ECU Hardware reset Session returns to the DefaultSession PositiveResponseCase-$27</t>
  </si>
  <si>
    <t>1.Send DiagBy[Physical]Data[10 03];
2.Send DiagBy[Physical]Data[27 01]AndCheckResp[PositiveResponse];
3.Send Security Right KeyBy[Physical]Level[02];
4.Send DiagBy[Physical]Data[11 01];
5.Delay[2000]ms;
6.Send DiagBy[Physical]Data[10 03];
7.Send DiagBy[Physical]Data[27 01]AndCheckResp[PositiveResponse];</t>
  </si>
  <si>
    <t>1.Check DiagData[50 03 XX XX XX XX]Within[50]ms;
3.Check DiagData[67 02]Within[50]ms;
4.Check DiagData[51 01]Within[50]ms;
6.Check DiagData[50 03 XX XX XX XX]Within[50]ms;</t>
  </si>
  <si>
    <t>Diag_0x27_Phy_031</t>
  </si>
  <si>
    <t>Switch default Session 0x27 Security access level reset NegativeCase-$27</t>
  </si>
  <si>
    <t>1.Send DiagBy[Physical]Data[10 03];
2.Send DiagBy[Physical]Data[27 01]AndCheckResp[PositiveResponse];
3.Send Security Right KeyBy[Physical]Level[02];
4.Send DiagBy[Physical]Data[10 01];
5.Send DiagBy[Physical]Data[10 03];
6.Send DiagBy[Physical]Data[27 01]AndCheckResp[PositiveResponse];</t>
  </si>
  <si>
    <t>1.Check DiagData[50 03 XX XX XX XX]Within[50]ms;
3.Check DiagData[67 02]Within[50]ms;
4.Check DiagData[50 01 XX XX XX XX]Within[50]ms;
5.Check DiagData[50 03 XX XX XX XX]Within[50]ms;</t>
  </si>
  <si>
    <t>Diag_0x27_Phy_032</t>
  </si>
  <si>
    <t>Software reset, security access function normal request to the seed PositiveResponsecase-$27</t>
  </si>
  <si>
    <t>1.7 SPRMIB Test (APP)</t>
  </si>
  <si>
    <t>Diag_0x27_Phy_033</t>
  </si>
  <si>
    <t>The 0x27 nonsupport SPRMIB Negativecase-$27</t>
  </si>
  <si>
    <t>1.Send DiagBy[Physical]Data[10 03];
2.Send DiagBy[Physical]Data[27 83];
3.Send DiagBy[Physical]Data[27 84];</t>
  </si>
  <si>
    <t>1.Check DiagData[50 03 XX XX XX XX]Within[50]ms;
2.Check DiagData[7F 27 12]Within[50]ms;
3.Check DiagData[7F 27 12]Within[50]ms;</t>
  </si>
  <si>
    <t>1.8 Incorrect Diagnostic Command Test (APP)</t>
  </si>
  <si>
    <t>Diag_0x27_Phy_034</t>
  </si>
  <si>
    <t>Valid SF_DL=2, invalid SF_DL &gt; 2, and those with invalid equivalence class SF_DL=3 NegativeCase-$27</t>
  </si>
  <si>
    <t>1.Send DiagBy[Physical]Data[10 03];
2.Send DiagBy[Physical]Data[27 03]WithLen[3];</t>
  </si>
  <si>
    <t>1.Check DiagData[50 03 XX XX XX XX]Within[50]ms;
2.Check DiagData[7F 27 13]Within[50]ms;</t>
  </si>
  <si>
    <t>Diag_0x27_Phy_035</t>
  </si>
  <si>
    <t>Valid SF_DL=2, invalid SF_DL &lt; 2, and those with invalid equivalence class SF_DL=1 NegativeCase-$27</t>
  </si>
  <si>
    <t>1.Send DiagBy[Physical]Data[10 03];
2.Send DiagBy[Physical]Data[27]WithLen[1];</t>
  </si>
  <si>
    <t>1.9 NRC Priority Test (APP)</t>
  </si>
  <si>
    <t>Diag_0x27_Phy_036</t>
  </si>
  <si>
    <t>NRC 13&gt;12&gt;37&gt;22</t>
  </si>
  <si>
    <t>1.Send DiagBy[Physical]Data[10 03];
2.Send DiagBy[Physical]Data[27 01]WithLen[1];</t>
  </si>
  <si>
    <t>APP 域 Functional 寻址测试用例</t>
  </si>
  <si>
    <t>1.10 Functional Addressing Test (APP)</t>
  </si>
  <si>
    <t>Diag_0x27_Fun_037</t>
  </si>
  <si>
    <t>Default Session Functional addressing 0x27 nonsupport No_Response case-$27</t>
  </si>
  <si>
    <t>1.Send DiagBy[Physical]Data[10 01];
2.Send DiagBy[Function]Data[27 01];</t>
  </si>
  <si>
    <t>1.Check DiagData[50 01 XX XX XX XX]Within[50]ms;
2.Check No_Response Within[1000]ms;</t>
  </si>
  <si>
    <t>Diag_0x27_Fun_038</t>
  </si>
  <si>
    <t>Extended Session Functional addressing 0x27 nonsupport No_Response case-$27</t>
  </si>
  <si>
    <t>1.Send DiagBy[Physical]Data[10 03];
2.Send DiagBy[Function]Data[27 03];</t>
  </si>
  <si>
    <t>1.Check DiagData[50 03 XX XX XX XX]Within[50]ms;
2.Check No_Response Within[1000]ms;</t>
  </si>
  <si>
    <t>Boot 域 Physical 寻址测试用例</t>
  </si>
  <si>
    <t>2.1 Session Layer Test (Boot)</t>
  </si>
  <si>
    <t>Diag_0x27_Phy_039</t>
  </si>
  <si>
    <t>Boot Default Session nonsupport 0x27 Service security access level 1 Negativecase-$27</t>
  </si>
  <si>
    <t>1.Send DiagBy[Physical]Data[10 01];
2.Delay[1000]ms;
3.Send DiagBy[Physical]Data[10 03];
4.Send DiagBy[Physical]Data[31 01 02 03];
5.Send DiagBy[Physical]Data[10 02];
6.Send DiagBy[Physical]Data[10 01];
7.Send DiagBy[Physical]Data[27 01]AndCheckResp[7F 27 7F];</t>
  </si>
  <si>
    <t>1.Check DiagData[50 01 XX XX XX XX]Within[50]ms;
3.Check DiagData[50 03 XX XX XX XX]Within[50]ms;
4.Check DiagData[71 01 02 03 00]Within[50]ms;
5.Check DiagData[50 02 XX XX XX XX]Within[50]ms;
6.Check DiagData[50 01 XX XX XX XX]Within[50]ms;</t>
  </si>
  <si>
    <t>Diag_0x27_Phy_040</t>
  </si>
  <si>
    <t>Boot Default Session nonsupport 0x27 Service security access level 2 Negativecase-$27</t>
  </si>
  <si>
    <t>1.Send DiagBy[Physical]Data[10 01];
2.Delay[1000]ms;
3.Send DiagBy[Physical]Data[10 03];
4.Send DiagBy[Physical]Data[31 01 02 03];
5.Send DiagBy[Physical]Data[10 02];
6.Send DiagBy[Physical]Data[10 01];
7.Send DiagBy[Physical]Data[27 03]AndCheckResp[7F 27 7F];</t>
  </si>
  <si>
    <t>Diag_0x27_Phy_041</t>
  </si>
  <si>
    <t>Boot Programming Session support 0x27 Service security access level 1 PositiveResponsecase-$27</t>
  </si>
  <si>
    <t>Diag_0x27_Phy_042</t>
  </si>
  <si>
    <t>Boot Programming Session support 0x27 Service security access level 2 PositiveResponsecase-$27</t>
  </si>
  <si>
    <t>Diag_0x27_Phy_043</t>
  </si>
  <si>
    <t>Boot Extended Session support 0x27 Service security access level 1 PositiveResponsecase-$27</t>
  </si>
  <si>
    <t>1.Send DiagBy[Physical]Data[10 01];
2.Delay[1000]ms;
3.Send DiagBy[Physical]Data[10 03];
4.Send DiagBy[Physical]Data[31 01 02 03];
5.Send DiagBy[Physical]Data[10 02];
6.Send DiagBy[Physical]Data[10 03];
7.Send DiagBy[Physical]Data[27 01]AndCheckResp[PositiveResponse];
8.Send Security Right KeyBy[Physical]Level[02];</t>
  </si>
  <si>
    <t>1.Check DiagData[50 01 XX XX XX XX]Within[50]ms;
3.Check DiagData[50 03 XX XX XX XX]Within[50]ms;
4.Check DiagData[71 01 02 03 00]Within[50]ms;
5.Check DiagData[50 02 XX XX XX XX]Within[50]ms;
6.Check DiagData[50 03 XX XX XX XX]Within[50]ms;
8.Check DiagData[67 02]Within[50]ms;</t>
  </si>
  <si>
    <t>Diag_0x27_Phy_044</t>
  </si>
  <si>
    <t>Boot Extended Session support 0x27 Service security access level 2 PositiveResponsecase-$27</t>
  </si>
  <si>
    <t>1.Send DiagBy[Physical]Data[10 01];
2.Delay[1000]ms;
3.Send DiagBy[Physical]Data[10 03];
4.Send DiagBy[Physical]Data[31 01 02 03];
5.Send DiagBy[Physical]Data[10 02];
6.Send DiagBy[Physical]Data[10 03];
7.Send DiagBy[Physical]Data[27 03]AndCheckResp[PositiveResponse];
8.Send Security Right KeyBy[Physical]Level[04];</t>
  </si>
  <si>
    <t>1.Check DiagData[50 01 XX XX XX XX]Within[50]ms;
3.Check DiagData[50 03 XX XX XX XX]Within[50]ms;
4.Check DiagData[71 01 02 03 00]Within[50]ms;
5.Check DiagData[50 02 XX XX XX XX]Within[50]ms;
6.Check DiagData[50 03 XX XX XX XX]Within[50]ms;
8.Check DiagData[67 04]Within[50]ms;</t>
  </si>
  <si>
    <t>2.2 Secure Access Process Test (Boot)</t>
  </si>
  <si>
    <t>Diag_0x27_Phy_045</t>
  </si>
  <si>
    <t>Boot - Does not meet the secure access process, only requests seeds, a negative test case where secure access cannot be unlocked</t>
  </si>
  <si>
    <t>1.Send DiagBy[Physical]Data[10 01];
2.Delay[1000]ms;
3.Send DiagBy[Physical]Data[10 03];
4.Send DiagBy[Physical]Data[31 01 02 03];
5.Send DiagBy[Physical]Data[10 02];
6.Send DiagBy[Physical]Data[27 01]AndCheckResp[PositiveResponse];</t>
  </si>
  <si>
    <t>1.Check DiagData[50 01 XX XX XX XX]Within[50]ms;
3.Check DiagData[50 03 XX XX XX XX]Within[50]ms;
4.Check DiagData[71 01 02 03 00]Within[50]ms;
5.Check DiagData[50 02 XX XX XX XX]Within[50]ms;</t>
  </si>
  <si>
    <t>Diag_0x27_Phy_046</t>
  </si>
  <si>
    <t>Boot - Does not meet the secure access process, only sending the key; a negative test case</t>
  </si>
  <si>
    <t>1.Send DiagBy[Physical]Data[10 01];
2.Delay[1000]ms;
3.Send DiagBy[Physical]Data[10 03];
4.Send DiagBy[Physical]Data[31 01 02 03];
5.Send DiagBy[Physical]Data[10 02];
6.Send DiagBy[Physical]Data[27 02];</t>
  </si>
  <si>
    <t>1.Check DiagData[50 01 XX XX XX XX]Within[50]ms;
3.Check DiagData[50 03 XX XX XX XX]Within[50]ms;
4.Check DiagData[71 01 02 03 00]Within[50]ms;
5.Check DiagData[50 02 XX XX XX XX]Within[50]ms;
6.Check DiagData[7F 27 24]Within[50]ms;</t>
  </si>
  <si>
    <t>Diag_0x27_Phy_047</t>
  </si>
  <si>
    <t>Boot - Meet the secure access process: request the seed first, then send the key – a PositiveResponse use case</t>
  </si>
  <si>
    <t>Diag_0x27_Phy_048</t>
  </si>
  <si>
    <t>Boot - Failure to comply with the secure access process: sending the key first, then requesting the seed - same level</t>
  </si>
  <si>
    <t>1.Send DiagBy[Physical]Data[10 01];
2.Delay[1000]ms;
3.Send DiagBy[Physical]Data[10 03];
4.Send DiagBy[Physical]Data[31 01 02 03];
5.Send DiagBy[Physical]Data[10 02];
6.Send DiagBy[Physical]Data[27 02];
7.Send DiagBy[Physical]Data[27 01]AndCheckResp[PositiveResponse];</t>
  </si>
  <si>
    <t>Diag_0x27_Phy_049</t>
  </si>
  <si>
    <t>Boot - Failure to comply with the secure access process: sending the key first, then requesting the seed - cross level</t>
  </si>
  <si>
    <t>1.Send DiagBy[Physical]Data[10 01];
2.Delay[1000]ms;
3.Send DiagBy[Physical]Data[10 03];
4.Send DiagBy[Physical]Data[31 01 02 03];
5.Send DiagBy[Physical]Data[10 02];
6.Send DiagBy[Physical]Data[27 04];
7.Send DiagBy[Physical]Data[27 01]AndCheckResp[PositiveResponse];</t>
  </si>
  <si>
    <t>Diag_0x27_Phy_050</t>
  </si>
  <si>
    <t>Boot - Repeated seed requests return the same seed data - PositiveResponse</t>
  </si>
  <si>
    <t>1.Send DiagBy[Physical]Data[10 01];
2.Delay[1000]ms;
3.Send DiagBy[Physical]Data[10 03];
4.Send DiagBy[Physical]Data[31 01 02 03];
5.Send DiagBy[Physical]Data[10 02];
6.Send DiagBy[Physical]Data[27 01]AndCheckResp[PositiveResponse];
7.Send DiagBy[Physical]Data[27 01]AndCheckResp[PositiveResponse];</t>
  </si>
  <si>
    <t>Diag_0x27_Phy_051</t>
  </si>
  <si>
    <t>Boot - After successful unlock, request seed returns all zeros - PositiveResponse</t>
  </si>
  <si>
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8.Send DiagBy[Physical]Data[27 01]AndCheckResp[PositiveResponse];</t>
  </si>
  <si>
    <t>2.3 Security Access Mechanism Test (Boot) — Path A: Wrong Key</t>
  </si>
  <si>
    <t>Diag_0x27_Phy_052</t>
  </si>
  <si>
    <t>1.Send DiagBy[Physical]Data[10 01];
2.Delay[1000]ms;
3.Send DiagBy[Physical]Data[10 03];
4.Send DiagBy[Physical]Data[31 01 02 03];
5.Send DiagBy[Physical]Data[10 02];
6.Send DiagBy[Physical]Data[27 01]AndCheckResp[PositiveResponse];
7.Send Security Wrong KeyBy[Physical]Level[02];
8.Send DiagBy[Physical]Data[27 01]AndCheckResp[PositiveResponse];
9.Send Security Wrong KeyBy[Physical]Level[02];
10.Send DiagBy[Physical]Data[27 01]AndCheckResp[PositiveResponse];
11.Send Security Wrong KeyBy[Physical]Level[02];
12.Send DiagBy[Physical]Data[27 01]AndCheckResp[7F 27 37];</t>
  </si>
  <si>
    <t>1.Check DiagData[50 01 XX XX XX XX]Within[50]ms;
3.Check DiagData[50 03 XX XX XX XX]Within[50]ms;
4.Check DiagData[71 01 02 03 00]Within[50]ms;
5.Check DiagData[50 02 XX XX XX XX]Within[50]ms;
7.Check DiagData[7F 27 35]Within[50]ms;
9.Check DiagData[7F 27 35]Within[50]ms;
11.Check DiagData[7F 27 36]Within[50]ms;</t>
  </si>
  <si>
    <t>Diag_0x27_Phy_053</t>
  </si>
  <si>
    <t>Boot - A PositiveResponse test case that meets a maximum of 3 failed attempts (wrong key) and a lockout duration of 10 seconds</t>
  </si>
  <si>
    <t>1.Send DiagBy[Physical]Data[10 01];
2.Delay[1000]ms;
3.Send DiagBy[Physical]Data[10 03];
4.Send DiagBy[Physical]Data[31 01 02 03];
5.Send DiagBy[Physical]Data[10 02];
6.Send DiagBy[Physical]Data[27 01]AndCheckResp[PositiveResponse];
7.Send Security Wrong KeyBy[Physical]Level[02];
8.Send DiagBy[Physical]Data[27 01]AndCheckResp[PositiveResponse];
9.Send Security Wrong KeyBy[Physical]Level[02];
10.Send DiagBy[Physical]Data[27 01]AndCheckResp[PositiveResponse];
11.Send Security Wrong KeyBy[Physical]Level[02];
12.Delay[10000]ms;
13.Send DiagBy[Physical]Data[27 01]AndCheckResp[PositiveResponse];</t>
  </si>
  <si>
    <t>Diag_0x27_Phy_054</t>
  </si>
  <si>
    <t>Boot - A negative test case where the maximum number of secure access attempts (with incorrect keys) is reached and the 10-second delay has not expired</t>
  </si>
  <si>
    <t>1.Send DiagBy[Physical]Data[10 01];
2.Delay[1000]ms;
3.Send DiagBy[Physical]Data[10 03];
4.Send DiagBy[Physical]Data[31 01 02 03];
5.Send DiagBy[Physical]Data[10 02];
6.Send DiagBy[Physical]Data[27 01]AndCheckResp[PositiveResponse];
7.Send Security Wrong KeyBy[Physical]Level[02];
8.Send DiagBy[Physical]Data[27 01]AndCheckResp[PositiveResponse];
9.Send Security Wrong KeyBy[Physical]Level[02];
10.Send DiagBy[Physical]Data[27 01]AndCheckResp[PositiveResponse];
11.Send Security Wrong KeyBy[Physical]Level[02];
12.Delay[5000]ms;
13.Send DiagBy[Physical]Data[27 01]AndCheckResp[7F 27 37];</t>
  </si>
  <si>
    <t>Diag_0x27_Phy_055</t>
  </si>
  <si>
    <t>Boot - When the maximum number of safe access attempts (wrong key) = 4 is reached, successfully unlock once to reset counter</t>
  </si>
  <si>
    <t>1.Send DiagBy[Physical]Data[10 01];
2.Delay[1000]ms;
3.Send DiagBy[Physical]Data[10 03];
4.Send DiagBy[Physical]Data[31 01 02 03];
5.Send DiagBy[Physical]Data[10 02];
6.Send DiagBy[Physical]Data[27 01]AndCheckResp[PositiveResponse];
7.Send Security Wrong KeyBy[Physical]Level[02];
8.Send DiagBy[Physical]Data[27 01]AndCheckResp[PositiveResponse];
9.Send Security Wrong KeyBy[Physical]Level[02];
10.Send DiagBy[Physical]Data[27 01]AndCheckResp[PositiveResponse];
11.Send Security Right KeyBy[Physical]Level[02];
12.Send DiagBy[Physical]Data[10 01];
13.Send DiagBy[Physical]Data[10 03];
14.Send DiagBy[Physical]Data[31 01 02 03];
15.Send DiagBy[Physical]Data[10 02];
16.Send DiagBy[Physical]Data[27 01]AndCheckResp[PositiveResponse];
17.Send Security Wrong KeyBy[Physical]Level[02];
18.Send DiagBy[Physical]Data[27 01]AndCheckResp[PositiveResponse];
19.Send Security Wrong KeyBy[Physical]Level[02];
20.Send DiagBy[Physical]Data[27 01]AndCheckResp[PositiveResponse];
21.Send Security Wrong KeyBy[Physical]Level[02];
22.Send DiagBy[Physical]Data[27 01]AndCheckResp[7F 27 37];</t>
  </si>
  <si>
    <t>1.Check DiagData[50 01 XX XX XX XX]Within[50]ms;
3.Check DiagData[50 03 XX XX XX XX]Within[50]ms;
4.Check DiagData[71 01 02 03 00]Within[50]ms;
5.Check DiagData[50 02 XX XX XX XX]Within[50]ms;
7.Check DiagData[7F 27 35]Within[50]ms;
9.Check DiagData[7F 27 35]Within[50]ms;
11.Check DiagData[67 02]Within[50]ms;
12.Check DiagData[50 01 XX XX XX XX]Within[50]ms;
13.Check DiagData[50 03 XX XX XX XX]Within[50]ms;
14.Check DiagData[71 01 02 03 00]Within[50]ms;
15.Check DiagData[50 02 XX XX XX XX]Within[50]ms;
17.Check DiagData[7F 27 35]Within[50]ms;
19.Check DiagData[7F 27 35]Within[50]ms;
21.Check DiagData[7F 27 36]Within[50]ms;</t>
  </si>
  <si>
    <t>Diag_0x27_Phy_056</t>
  </si>
  <si>
    <t>Boot - SAcounter equals 3 after reset when FAAflag = True (wrong key path) - PositiveResponse</t>
  </si>
  <si>
    <t>1.Send DiagBy[Physical]Data[10 01];
2.Delay[1000]ms;
3.Send DiagBy[Physical]Data[10 03];
4.Send DiagBy[Physical]Data[31 01 02 03];
5.Send DiagBy[Physical]Data[10 02];
6.Send DiagBy[Physical]Data[27 01]AndCheckResp[PositiveResponse];
7.Send Security Wrong KeyBy[Physical]Level[02];
8.Send DiagBy[Physical]Data[27 01]AndCheckResp[PositiveResponse];
9.Send Security Wrong KeyBy[Physical]Level[02];
10.Send DiagBy[Physical]Data[27 01]AndCheckResp[PositiveResponse];
11.Send Security Wrong KeyBy[Physical]Level[02];
12.Set Voltage[0]V;
13.Delay[1000]ms;
14.Set Voltage[12]V;
15.Delay[1000]ms;
16.Send DiagBy[Physical]Data[10 01];
17.Delay[1000]ms;
18.Send DiagBy[Physical]Data[10 03];
19.Send DiagBy[Physical]Data[31 01 02 03];
20.Send DiagBy[Physical]Data[10 02];
21.Send DiagBy[Physical]Data[27 01]AndCheckResp[7F 27 37];</t>
  </si>
  <si>
    <t>1.Check DiagData[50 01 XX XX XX XX]Within[50]ms;
3.Check DiagData[50 03 XX XX XX XX]Within[50]ms;
4.Check DiagData[71 01 02 03 00]Within[50]ms;
5.Check DiagData[50 02 XX XX XX XX]Within[50]ms;
7.Check DiagData[7F 27 35]Within[50]ms;
9.Check DiagData[7F 27 35]Within[50]ms;
11.Check DiagData[7F 27 36]Within[50]ms;
16.Check DiagData[50 01 XX XX XX XX]Within[50]ms;
18.Check DiagData[50 03 XX XX XX XX]Within[50]ms;
19.Check DiagData[71 01 02 03 00]Within[50]ms;
20.Check DiagData[50 02 XX XX XX XX]Within[50]ms;</t>
  </si>
  <si>
    <t>Diag_0x27_Phy_057</t>
  </si>
  <si>
    <t>Boot - Hardware reset enabled 10s delay time (wrong key path) - PositiveResponse</t>
  </si>
  <si>
    <t>1.Send DiagBy[Physical]Data[10 01];
2.Delay[1000]ms;
3.Send DiagBy[Physical]Data[10 03];
4.Send DiagBy[Physical]Data[31 01 02 03];
5.Send DiagBy[Physical]Data[10 02];
6.Send DiagBy[Physical]Data[27 01]AndCheckResp[PositiveResponse];
7.Send Security Wrong KeyBy[Physical]Level[02];
8.Send DiagBy[Physical]Data[27 01]AndCheckResp[PositiveResponse];
9.Send Security Wrong KeyBy[Physical]Level[02];
10.Send DiagBy[Physical]Data[27 01]AndCheckResp[PositiveResponse];
11.Send Security Wrong KeyBy[Physical]Level[02];
12.Set Voltage[0]V;
13.Delay[1000]ms;
14.Set Voltage[12]V;
15.Delay[1000]ms;
16.Send DiagBy[Physical]Data[10 01];
17.Delay[1000]ms;
18.Send DiagBy[Physical]Data[10 03];
19.Send DiagBy[Physical]Data[31 01 02 03];
20.Send DiagBy[Physical]Data[10 02];
21.Delay[10000]ms;
22.Send DiagBy[Physical]Data[27 01]AndCheckResp[PositiveResponse];</t>
  </si>
  <si>
    <t>Diag_0x27_Phy_058</t>
  </si>
  <si>
    <t>Boot - Reverse test case for reaching the maximum number of safe access attempts (wrong key) and the 10-second delay - 4th attempt triggers lock</t>
  </si>
  <si>
    <t>1.Send DiagBy[Physical]Data[10 01];
2.Delay[1000]ms;
3.Send DiagBy[Physical]Data[10 03];
4.Send DiagBy[Physical]Data[31 01 02 03];
5.Send DiagBy[Physical]Data[10 02];
6.Send DiagBy[Physical]Data[27 01]AndCheckResp[PositiveResponse];
7.Send Security Wrong KeyBy[Physical]Level[02];
8.Send DiagBy[Physical]Data[27 01]AndCheckResp[PositiveResponse];
9.Send Security Wrong KeyBy[Physical]Level[02];
10.Send DiagBy[Physical]Data[27 01]AndCheckResp[PositiveResponse];
11.Send Security Wrong KeyBy[Physical]Level[02];
12.Delay[10000]ms;
13.Send DiagBy[Physical]Data[27 01]AndCheckResp[PositiveResponse];
14.Send Security Wrong KeyBy[Physical]Level[02];
15.Send DiagBy[Physical]Data[27 01]AndCheckResp[7F 27 37];</t>
  </si>
  <si>
    <t>1.Check DiagData[50 01 XX XX XX XX]Within[50]ms;
3.Check DiagData[50 03 XX XX XX XX]Within[50]ms;
4.Check DiagData[71 01 02 03 00]Within[50]ms;
5.Check DiagData[50 02 XX XX XX XX]Within[50]ms;
7.Check DiagData[7F 27 35]Within[50]ms;
9.Check DiagData[7F 27 35]Within[50]ms;
11.Check DiagData[7F 27 36]Within[50]ms;
14.Check DiagData[7F 27 36]Within[50]ms;</t>
  </si>
  <si>
    <t>2.4 Security Access Mechanism Test (Boot) — Path B: Consecutive Seed Request</t>
  </si>
  <si>
    <t>Diag_0x27_Phy_059</t>
  </si>
  <si>
    <t>Boot - Meets the maximum of 3 failed attempts (request seed); does not meet the reverse test case with a lockout time of 10 seconds</t>
  </si>
  <si>
    <t>1.Send DiagBy[Physical]Data[10 01];
2.Delay[1000]ms;
3.Send DiagBy[Physical]Data[10 03];
4.Send DiagBy[Physical]Data[31 01 02 03];
5.Send DiagBy[Physical]Data[10 02];
6.Send DiagBy[Physical]Data[27 01]AndCheckResp[PositiveResponse];
7.Send DiagBy[Physical]Data[27 01]AndCheckResp[PositiveResponse];
8.Send DiagBy[Physical]Data[27 01]AndCheckResp[PositiveResponse];
9.Send DiagBy[Physical]Data[27 01]AndCheckResp[7F 27 36];
10.Send DiagBy[Physical]Data[27 01]AndCheckResp[7F 27 37];</t>
  </si>
  <si>
    <t>Diag_0x27_Phy_060</t>
  </si>
  <si>
    <t>Boot - A PositiveResponse test case that meets a maximum of 3 failed attempts (request seed) and a lockout duration of 10 seconds</t>
  </si>
  <si>
    <t>1.Send DiagBy[Physical]Data[10 01];
2.Delay[1000]ms;
3.Send DiagBy[Physical]Data[10 03];
4.Send DiagBy[Physical]Data[31 01 02 03];
5.Send DiagBy[Physical]Data[10 02];
6.Send DiagBy[Physical]Data[27 01]AndCheckResp[PositiveResponse];
7.Send DiagBy[Physical]Data[27 01]AndCheckResp[PositiveResponse];
8.Send DiagBy[Physical]Data[27 01]AndCheckResp[PositiveResponse];
9.Send DiagBy[Physical]Data[27 01]AndCheckResp[7F 27 36];
10.Delay[10000]ms;
11.Send DiagBy[Physical]Data[27 01]AndCheckResp[PositiveResponse];</t>
  </si>
  <si>
    <t>Diag_0x27_Phy_061</t>
  </si>
  <si>
    <t>Boot - A negative test case where the maximum number of secure access attempts (request seed) is reached and the 10-second delay has not expired</t>
  </si>
  <si>
    <t>1.Send DiagBy[Physical]Data[10 01];
2.Delay[1000]ms;
3.Send DiagBy[Physical]Data[10 03];
4.Send DiagBy[Physical]Data[31 01 02 03];
5.Send DiagBy[Physical]Data[10 02];
6.Send DiagBy[Physical]Data[27 01]AndCheckResp[PositiveResponse];
7.Send DiagBy[Physical]Data[27 01]AndCheckResp[PositiveResponse];
8.Send DiagBy[Physical]Data[27 01]AndCheckResp[PositiveResponse];
9.Send DiagBy[Physical]Data[27 01]AndCheckResp[7F 27 36];
10.Delay[5000]ms;
11.Send DiagBy[Physical]Data[27 01]AndCheckResp[7F 27 37];</t>
  </si>
  <si>
    <t>Diag_0x27_Phy_062</t>
  </si>
  <si>
    <t>Boot - When the maximum number of safe access attempts (request seed) = 4 is reached, successfully unlock once to reset counter</t>
  </si>
  <si>
    <t>1.Send DiagBy[Physical]Data[10 01];
2.Delay[1000]ms;
3.Send DiagBy[Physical]Data[10 03];
4.Send DiagBy[Physical]Data[31 01 02 03];
5.Send DiagBy[Physical]Data[10 02];
6.Send DiagBy[Physical]Data[27 01]AndCheckResp[PositiveResponse];
7.Send DiagBy[Physical]Data[27 01]AndCheckResp[PositiveResponse];
8.Send DiagBy[Physical]Data[27 01]AndCheckResp[PositiveResponse];
9.Send Security Right KeyBy[Physical]Level[02];
10.Send DiagBy[Physical]Data[10 01];
11.Send DiagBy[Physical]Data[10 03];
12.Send DiagBy[Physical]Data[31 01 02 03];
13.Send DiagBy[Physical]Data[10 02];
14.Send DiagBy[Physical]Data[27 01]AndCheckResp[PositiveResponse];
15.Send DiagBy[Physical]Data[27 01]AndCheckResp[PositiveResponse];
16.Send DiagBy[Physical]Data[27 01]AndCheckResp[PositiveResponse];
17.Send DiagBy[Physical]Data[27 01]AndCheckResp[7F 27 36];</t>
  </si>
  <si>
    <t>1.Check DiagData[50 01 XX XX XX XX]Within[50]ms;
3.Check DiagData[50 03 XX XX XX XX]Within[50]ms;
4.Check DiagData[71 01 02 03 00]Within[50]ms;
5.Check DiagData[50 02 XX XX XX XX]Within[50]ms;
9.Check DiagData[67 02]Within[50]ms;
10.Check DiagData[50 01 XX XX XX XX]Within[50]ms;
11.Check DiagData[50 03 XX XX XX XX]Within[50]ms;
12.Check DiagData[71 01 02 03 00]Within[50]ms;
13.Check DiagData[50 02 XX XX XX XX]Within[50]ms;</t>
  </si>
  <si>
    <t>Diag_0x27_Phy_063</t>
  </si>
  <si>
    <t>Boot - SAcounter equals 3 after reset when FAAflag = True (request seed path) - PositiveResponse</t>
  </si>
  <si>
    <t>1.Send DiagBy[Physical]Data[10 01];
2.Delay[1000]ms;
3.Send DiagBy[Physical]Data[10 03];
4.Send DiagBy[Physical]Data[31 01 02 03];
5.Send DiagBy[Physical]Data[10 02];
6.Send DiagBy[Physical]Data[27 01]AndCheckResp[PositiveResponse];
7.Send DiagBy[Physical]Data[27 01]AndCheckResp[PositiveResponse];
8.Send DiagBy[Physical]Data[27 01]AndCheckResp[PositiveResponse];
9.Send DiagBy[Physical]Data[27 01]AndCheckResp[7F 27 36];
10.Set Voltage[0]V;
11.Delay[1000]ms;
12.Set Voltage[12]V;
13.Delay[1000]ms;
14.Send DiagBy[Physical]Data[10 01];
15.Delay[1000]ms;
16.Send DiagBy[Physical]Data[10 03];
17.Send DiagBy[Physical]Data[31 01 02 03];
18.Send DiagBy[Physical]Data[10 02];
19.Send DiagBy[Physical]Data[27 01]AndCheckResp[7F 27 37];</t>
  </si>
  <si>
    <t>1.Check DiagData[50 01 XX XX XX XX]Within[50]ms;
3.Check DiagData[50 03 XX XX XX XX]Within[50]ms;
4.Check DiagData[71 01 02 03 00]Within[50]ms;
5.Check DiagData[50 02 XX XX XX XX]Within[50]ms;
14.Check DiagData[50 01 XX XX XX XX]Within[50]ms;
16.Check DiagData[50 03 XX XX XX XX]Within[50]ms;
17.Check DiagData[71 01 02 03 00]Within[50]ms;
18.Check DiagData[50 02 XX XX XX XX]Within[50]ms;</t>
  </si>
  <si>
    <t>Diag_0x27_Phy_064</t>
  </si>
  <si>
    <t>Boot - Hardware reset enabled 10s delay time (request seed path) - PositiveResponse</t>
  </si>
  <si>
    <t>1.Send DiagBy[Physical]Data[10 01];
2.Delay[1000]ms;
3.Send DiagBy[Physical]Data[10 03];
4.Send DiagBy[Physical]Data[31 01 02 03];
5.Send DiagBy[Physical]Data[10 02];
6.Send DiagBy[Physical]Data[27 01]AndCheckResp[PositiveResponse];
7.Send DiagBy[Physical]Data[27 01]AndCheckResp[PositiveResponse];
8.Send DiagBy[Physical]Data[27 01]AndCheckResp[PositiveResponse];
9.Send DiagBy[Physical]Data[27 01]AndCheckResp[7F 27 36];
10.Set Voltage[0]V;
11.Delay[1000]ms;
12.Set Voltage[12]V;
13.Delay[1000]ms;
14.Send DiagBy[Physical]Data[10 01];
15.Delay[1000]ms;
16.Send DiagBy[Physical]Data[10 03];
17.Send DiagBy[Physical]Data[31 01 02 03];
18.Send DiagBy[Physical]Data[10 02];
19.Delay[10000]ms;
20.Send DiagBy[Physical]Data[27 01]AndCheckResp[PositiveResponse];</t>
  </si>
  <si>
    <t>Diag_0x27_Phy_065</t>
  </si>
  <si>
    <t>Boot - Reverse test case for reaching the maximum number of safe access attempts (request seed) and the 10-second delay - 4th attempt triggers lock</t>
  </si>
  <si>
    <t>1.Send DiagBy[Physical]Data[10 01];
2.Delay[1000]ms;
3.Send DiagBy[Physical]Data[10 03];
4.Send DiagBy[Physical]Data[31 01 02 03];
5.Send DiagBy[Physical]Data[10 02];
6.Send DiagBy[Physical]Data[27 01]AndCheckResp[PositiveResponse];
7.Send DiagBy[Physical]Data[27 01]AndCheckResp[PositiveResponse];
8.Send DiagBy[Physical]Data[27 01]AndCheckResp[PositiveResponse];
9.Send DiagBy[Physical]Data[27 01]AndCheckResp[7F 27 36];
10.Delay[10000]ms;
11.Send DiagBy[Physical]Data[27 01]AndCheckResp[PositiveResponse];
12.Send DiagBy[Physical]Data[27 01]AndCheckResp[PositiveResponse];
13.Send DiagBy[Physical]Data[27 01]AndCheckResp[PositiveResponse];
14.Send DiagBy[Physical]Data[27 01]AndCheckResp[7F 27 36];</t>
  </si>
  <si>
    <t>2.5 Secure Access Time Test (Boot)</t>
  </si>
  <si>
    <t>Diag_0x27_Phy_066</t>
  </si>
  <si>
    <t>Boot - Duration after unlocking: 5s - PositiveResponse Response Case-$27</t>
  </si>
  <si>
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8.Delay[4900]ms;
9.Send DiagBy[Physical]Data[3E 00];
10.Delay[4900]ms;
11.Send DiagBy[Physical]Data[27 01]AndCheckResp[PositiveResponse];</t>
  </si>
  <si>
    <t>1.Check DiagData[50 01 XX XX XX XX]Within[50]ms;
3.Check DiagData[50 03 XX XX XX XX]Within[50]ms;
4.Check DiagData[71 01 02 03 00]Within[50]ms;
5.Check DiagData[50 02 XX XX XX XX]Within[50]ms;
7.Check DiagData[67 02]Within[50]ms;
9.Check DiagData[7E 00]Within[50]ms;</t>
  </si>
  <si>
    <t>2.6 ECU Reset Test (Boot)</t>
  </si>
  <si>
    <t>Diag_0x27_Phy_067</t>
  </si>
  <si>
    <t>Boot - ECU power reset Session returns to the DefaultSession PositiveResponseCase-$27</t>
  </si>
  <si>
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8.Set Voltage[0]V;
9.Delay[1000]ms;
10.Set Voltage[12]V;
11.Delay[1000]ms;
12.Send DiagBy[Physical]Data[10 01];
13.Delay[1000]ms;
14.Send DiagBy[Physical]Data[10 03];
15.Send DiagBy[Physical]Data[31 01 02 03];
16.Send DiagBy[Physical]Data[10 02];
17.Send DiagBy[Physical]Data[27 01]AndCheckResp[PositiveResponse];</t>
  </si>
  <si>
    <t>1.Check DiagData[50 01 XX XX XX XX]Within[50]ms;
3.Check DiagData[50 03 XX XX XX XX]Within[50]ms;
4.Check DiagData[71 01 02 03 00]Within[50]ms;
5.Check DiagData[50 02 XX XX XX XX]Within[50]ms;
7.Check DiagData[67 02]Within[50]ms;
12.Check DiagData[50 01 XX XX XX XX]Within[50]ms;
14.Check DiagData[50 03 XX XX XX XX]Within[50]ms;
15.Check DiagData[71 01 02 03 00]Within[50]ms;
16.Check DiagData[50 02 XX XX XX XX]Within[50]ms;</t>
  </si>
  <si>
    <t>Diag_0x27_Phy_068</t>
  </si>
  <si>
    <t>Boot - ECU Hardware reset Session returns to the DefaultSession PositiveResponseCase-$27</t>
  </si>
  <si>
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8.Send DiagBy[Physical]Data[11 01];
9.Delay[2000]ms;
10.Send DiagBy[Physical]Data[10 01];
11.Delay[1000]ms;
12.Send DiagBy[Physical]Data[10 03];
13.Send DiagBy[Physical]Data[31 01 02 03];
14.Send DiagBy[Physical]Data[10 02];
15.Send DiagBy[Physical]Data[27 01]AndCheckResp[PositiveResponse];</t>
  </si>
  <si>
    <t>1.Check DiagData[50 01 XX XX XX XX]Within[50]ms;
3.Check DiagData[50 03 XX XX XX XX]Within[50]ms;
4.Check DiagData[71 01 02 03 00]Within[50]ms;
5.Check DiagData[50 02 XX XX XX XX]Within[50]ms;
7.Check DiagData[67 02]Within[50]ms;
8.Check DiagData[51 01]Within[50]ms;
10.Check DiagData[50 01 XX XX XX XX]Within[50]ms;
12.Check DiagData[50 03 XX XX XX XX]Within[50]ms;
13.Check DiagData[71 01 02 03 00]Within[50]ms;
14.Check DiagData[50 02 XX XX XX XX]Within[50]ms;</t>
  </si>
  <si>
    <t>Diag_0x27_Phy_069</t>
  </si>
  <si>
    <t>Boot - Switch default Session 0x27 Security access level reset NegativeCase-$27</t>
  </si>
  <si>
    <t>1.Send DiagBy[Physical]Data[10 01];
2.Delay[1000]ms;
3.Send DiagBy[Physical]Data[10 03];
4.Send DiagBy[Physical]Data[31 01 02 03];
5.Send DiagBy[Physical]Data[10 02];
6.Send DiagBy[Physical]Data[27 01]AndCheckResp[PositiveResponse];
7.Send Security Right KeyBy[Physical]Level[02];
8.Send DiagBy[Physical]Data[10 01];
9.Send DiagBy[Physical]Data[10 03];
10.Send DiagBy[Physical]Data[31 01 02 03];
11.Send DiagBy[Physical]Data[10 02];
12.Send DiagBy[Physical]Data[27 01]AndCheckResp[PositiveResponse];</t>
  </si>
  <si>
    <t>1.Check DiagData[50 01 XX XX XX XX]Within[50]ms;
3.Check DiagData[50 03 XX XX XX XX]Within[50]ms;
4.Check DiagData[71 01 02 03 00]Within[50]ms;
5.Check DiagData[50 02 XX XX XX XX]Within[50]ms;
7.Check DiagData[67 02]Within[50]ms;
8.Check DiagData[50 01 XX XX XX XX]Within[50]ms;
9.Check DiagData[50 03 XX XX XX XX]Within[50]ms;
10.Check DiagData[71 01 02 03 00]Within[50]ms;
11.Check DiagData[50 02 XX XX XX XX]Within[50]ms;</t>
  </si>
  <si>
    <t>Diag_0x27_Phy_070</t>
  </si>
  <si>
    <t>Boot - Software reset, security access function normal request to the seed PositiveResponsecase-$27</t>
  </si>
  <si>
    <t>2.7 SPRMIB Test (Boot)</t>
  </si>
  <si>
    <t>Diag_0x27_Phy_071</t>
  </si>
  <si>
    <t>Boot - The 0x27 nonsupport SPRMIB Negativecase-$27</t>
  </si>
  <si>
    <t>1.Send DiagBy[Physical]Data[10 01];
2.Delay[1000]ms;
3.Send DiagBy[Physical]Data[10 03];
4.Send DiagBy[Physical]Data[31 01 02 03];
5.Send DiagBy[Physical]Data[10 02];
6.Send DiagBy[Physical]Data[27 83];
7.Send DiagBy[Physical]Data[27 84];</t>
  </si>
  <si>
    <t>1.Check DiagData[50 01 XX XX XX XX]Within[50]ms;
3.Check DiagData[50 03 XX XX XX XX]Within[50]ms;
4.Check DiagData[71 01 02 03 00]Within[50]ms;
5.Check DiagData[50 02 XX XX XX XX]Within[50]ms;
6.Check DiagData[7F 27 12]Within[50]ms;
7.Check DiagData[7F 27 12]Within[50]ms;</t>
  </si>
  <si>
    <t>2.8 Incorrect Diagnostic Command Test (Boot)</t>
  </si>
  <si>
    <t>Diag_0x27_Phy_072</t>
  </si>
  <si>
    <t>Boot - Valid SF_DL=2, invalid SF_DL &gt; 2, and those with invalid equivalence class SF_DL=3 NegativeCase-$27</t>
  </si>
  <si>
    <t>1.Send DiagBy[Physical]Data[10 01];
2.Delay[1000]ms;
3.Send DiagBy[Physical]Data[10 03];
4.Send DiagBy[Physical]Data[31 01 02 03];
5.Send DiagBy[Physical]Data[10 02];
6.Send DiagBy[Physical]Data[27 03]WithLen[3];</t>
  </si>
  <si>
    <t>1.Check DiagData[50 01 XX XX XX XX]Within[50]ms;
3.Check DiagData[50 03 XX XX XX XX]Within[50]ms;
4.Check DiagData[71 01 02 03 00]Within[50]ms;
5.Check DiagData[50 02 XX XX XX XX]Within[50]ms;
6.Check DiagData[7F 27 13]Within[50]ms;</t>
  </si>
  <si>
    <t>Diag_0x27_Phy_073</t>
  </si>
  <si>
    <t>Boot - Valid SF_DL=2, invalid SF_DL &lt; 2, and those with invalid equivalence class SF_DL=1 NegativeCase-$27</t>
  </si>
  <si>
    <t>1.Send DiagBy[Physical]Data[10 01];
2.Delay[1000]ms;
3.Send DiagBy[Physical]Data[10 03];
4.Send DiagBy[Physical]Data[31 01 02 03];
5.Send DiagBy[Physical]Data[10 02];
6.Send DiagBy[Physical]Data[27]WithLen[1];</t>
  </si>
  <si>
    <t>2.9 NRC Priority Test (Boot)</t>
  </si>
  <si>
    <t>Diag_0x27_Phy_074</t>
  </si>
  <si>
    <t>Boot - NRC 13&gt;12&gt;37&gt;22</t>
  </si>
  <si>
    <t>1.Send DiagBy[Physical]Data[10 01];
2.Delay[1000]ms;
3.Send DiagBy[Physical]Data[10 03];
4.Send DiagBy[Physical]Data[31 01 02 03];
5.Send DiagBy[Physical]Data[10 02];
6.Send DiagBy[Physical]Data[27 01]WithLen[1];</t>
  </si>
  <si>
    <t>Boot 域 Functional 寻址测试用例</t>
  </si>
  <si>
    <t>2.10 Functional Addressing Test (Boot)</t>
  </si>
  <si>
    <t>Diag_0x27_Fun_075</t>
  </si>
  <si>
    <t>Boot Default Session Functional addressing 0x27 nonsupport No_Response case-$27</t>
  </si>
  <si>
    <t>1.Check DiagData[50 01 XX XX XX XX]Within[50]ms;
3.Check DiagData[50 03 XX XX XX XX]Within[50]ms;
4.Check DiagData[71 01 02 03 00]Within[50]ms;
5.Check DiagData[50 02 XX XX XX XX]Within[50]ms;
6.Check DiagData[50 01 XX XX XX XX]Within[50]ms;
7.Check No_Response Within[1000]ms;</t>
  </si>
  <si>
    <t>Diag_0x27_Fun_076</t>
  </si>
  <si>
    <t>Boot Programming Session Functional addressing 0x27 nonsupport No_Response case-$27</t>
  </si>
  <si>
    <t>1.Send DiagBy[Physical]Data[10 01];
2.Delay[1000]ms;
3.Send DiagBy[Physical]Data[10 03];
4.Send DiagBy[Physical]Data[31 01 02 03];
5.Send DiagBy[Physical]Data[10 02];
6.Send DiagBy[Function]Data[27 01];</t>
  </si>
  <si>
    <t>1.Check DiagData[50 01 XX XX XX XX]Within[50]ms;
3.Check DiagData[50 03 XX XX XX XX]Within[50]ms;
4.Check DiagData[71 01 02 03 00]Within[50]ms;
5.Check DiagData[50 02 XX XX XX XX]Within[50]ms;
6.Check No_Response Within[1000]ms;</t>
  </si>
  <si>
    <t>Diag_0x27_Fun_077</t>
  </si>
  <si>
    <t>Boot Extended Session Functional addressing 0x27 nonsupport No_Response case-$27</t>
  </si>
  <si>
    <t>1.Send DiagBy[Physical]Data[10 01];
2.Delay[1000]ms;
3.Send DiagBy[Physical]Data[10 03];
4.Send DiagBy[Physical]Data[31 01 02 03];
5.Send DiagBy[Physical]Data[10 02];
6.Send DiagBy[Physical]Data[10 03];
7.Send DiagBy[Function]Data[27 01];</t>
  </si>
  <si>
    <t>1.Check DiagData[50 01 XX XX XX XX]Within[50]ms;
3.Check DiagData[50 03 XX XX XX XX]Within[50]ms;
4.Check DiagData[71 01 02 03 00]Within[50]ms;
5.Check DiagData[50 02 XX XX XX XX]Within[50]ms;
6.Check DiagData[50 03 XX XX XX XX]Within[50]ms;
7.Check No_Response Within[1000]ms;</t>
  </si>
  <si>
    <t>Test result statistics</t>
    <phoneticPr fontId="10" type="noConversion"/>
  </si>
  <si>
    <t>Test item</t>
    <phoneticPr fontId="10" type="noConversion"/>
  </si>
  <si>
    <t xml:space="preserve">                    Test result
Total cases</t>
    <phoneticPr fontId="10" type="noConversion"/>
  </si>
  <si>
    <t>Pass</t>
    <phoneticPr fontId="10" type="noConversion"/>
  </si>
  <si>
    <t>Fail</t>
    <phoneticPr fontId="10" type="noConversion"/>
  </si>
  <si>
    <t>需求覆盖缺失</t>
    <phoneticPr fontId="4" type="noConversion"/>
  </si>
  <si>
    <r>
      <t xml:space="preserve">通过率
</t>
    </r>
    <r>
      <rPr>
        <b/>
        <sz val="8"/>
        <color theme="1"/>
        <rFont val="宋体"/>
        <family val="3"/>
        <charset val="134"/>
      </rPr>
      <t>用例编写格式</t>
    </r>
    <phoneticPr fontId="10" type="noConversion"/>
  </si>
  <si>
    <t>失败率</t>
    <phoneticPr fontId="10" type="noConversion"/>
  </si>
  <si>
    <t>需求未覆盖</t>
    <phoneticPr fontId="4" type="noConversion"/>
  </si>
  <si>
    <t>需求覆盖</t>
    <phoneticPr fontId="4" type="noConversion"/>
  </si>
  <si>
    <t>DiagnosticSessionControl_0x10</t>
    <phoneticPr fontId="4" type="noConversion"/>
  </si>
  <si>
    <t>ECUReset_0x11</t>
    <phoneticPr fontId="4" type="noConversion"/>
  </si>
  <si>
    <t>ClearDiagnosticInformation_0x14</t>
    <phoneticPr fontId="4" type="noConversion"/>
  </si>
  <si>
    <t>ReadDTCInformation_0x19</t>
    <phoneticPr fontId="4" type="noConversion"/>
  </si>
  <si>
    <t>ReadDataByIdentifier_0x22</t>
    <phoneticPr fontId="4" type="noConversion"/>
  </si>
  <si>
    <t>SecurityAccess_0x27</t>
    <phoneticPr fontId="4" type="noConversion"/>
  </si>
  <si>
    <t>CommunicationControl_0x28</t>
    <phoneticPr fontId="4" type="noConversion"/>
  </si>
  <si>
    <t>WriteDataByIdentifier_0x2E</t>
    <phoneticPr fontId="4" type="noConversion"/>
  </si>
  <si>
    <t>RoutineControl_0x31</t>
    <phoneticPr fontId="4" type="noConversion"/>
  </si>
  <si>
    <t>TesterPresent_0x3E</t>
    <phoneticPr fontId="4" type="noConversion"/>
  </si>
  <si>
    <t>ControlDTCSettings_0x85</t>
    <phoneticPr fontId="4" type="noConversion"/>
  </si>
  <si>
    <t>Total</t>
    <phoneticPr fontId="10" type="noConversion"/>
  </si>
  <si>
    <r>
      <t>Software Version</t>
    </r>
    <r>
      <rPr>
        <sz val="12"/>
        <color theme="1"/>
        <rFont val="宋体"/>
        <family val="3"/>
        <charset val="134"/>
      </rPr>
      <t>：</t>
    </r>
    <phoneticPr fontId="4" type="noConversion"/>
  </si>
  <si>
    <r>
      <t>Hardware Version</t>
    </r>
    <r>
      <rPr>
        <sz val="12"/>
        <color theme="1"/>
        <rFont val="宋体"/>
        <family val="3"/>
        <charset val="134"/>
      </rPr>
      <t>：</t>
    </r>
    <phoneticPr fontId="4" type="noConversion"/>
  </si>
  <si>
    <r>
      <t>Pass:</t>
    </r>
    <r>
      <rPr>
        <sz val="12"/>
        <color rgb="FFFF0000"/>
        <rFont val="宋体"/>
        <family val="3"/>
        <charset val="134"/>
      </rPr>
      <t>表示test case合格</t>
    </r>
    <phoneticPr fontId="4" type="noConversion"/>
  </si>
  <si>
    <r>
      <t>Test Time</t>
    </r>
    <r>
      <rPr>
        <sz val="12"/>
        <color theme="1"/>
        <rFont val="宋体"/>
        <family val="3"/>
        <charset val="134"/>
      </rPr>
      <t>：</t>
    </r>
    <phoneticPr fontId="4" type="noConversion"/>
  </si>
  <si>
    <r>
      <t>Fail:</t>
    </r>
    <r>
      <rPr>
        <sz val="12"/>
        <color rgb="FFFF0000"/>
        <rFont val="宋体"/>
        <family val="3"/>
        <charset val="134"/>
      </rPr>
      <t>表示</t>
    </r>
    <r>
      <rPr>
        <sz val="12"/>
        <color rgb="FFFF0000"/>
        <rFont val="Times New Roman"/>
        <family val="1"/>
      </rPr>
      <t>Test case</t>
    </r>
    <r>
      <rPr>
        <sz val="12"/>
        <color rgb="FFFF0000"/>
        <rFont val="宋体"/>
        <family val="3"/>
        <charset val="134"/>
      </rPr>
      <t>不合格</t>
    </r>
    <phoneticPr fontId="4" type="noConversion"/>
  </si>
  <si>
    <r>
      <t>Tester</t>
    </r>
    <r>
      <rPr>
        <sz val="12"/>
        <color theme="1"/>
        <rFont val="宋体"/>
        <family val="3"/>
        <charset val="134"/>
      </rPr>
      <t>：</t>
    </r>
    <phoneticPr fontId="4" type="noConversion"/>
  </si>
  <si>
    <r>
      <t>Block:</t>
    </r>
    <r>
      <rPr>
        <sz val="12"/>
        <color rgb="FFFF0000"/>
        <rFont val="宋体"/>
        <family val="3"/>
        <charset val="134"/>
      </rPr>
      <t>表示Test case缺失</t>
    </r>
    <phoneticPr fontId="4" type="noConversion"/>
  </si>
  <si>
    <t>Test conclusion</t>
    <phoneticPr fontId="10" type="noConversion"/>
  </si>
  <si>
    <t>No Pass</t>
  </si>
  <si>
    <r>
      <t>Comment</t>
    </r>
    <r>
      <rPr>
        <sz val="12"/>
        <color theme="1"/>
        <rFont val="宋体"/>
        <family val="3"/>
        <charset val="134"/>
      </rPr>
      <t xml:space="preserve">：
</t>
    </r>
    <r>
      <rPr>
        <sz val="12"/>
        <color theme="1"/>
        <rFont val="Times New Roman"/>
        <family val="1"/>
      </rPr>
      <t>P</t>
    </r>
    <r>
      <rPr>
        <sz val="12"/>
        <color theme="1"/>
        <rFont val="宋体"/>
        <family val="3"/>
        <charset val="134"/>
      </rPr>
      <t>：</t>
    </r>
    <r>
      <rPr>
        <sz val="12"/>
        <color theme="1"/>
        <rFont val="Times New Roman"/>
        <family val="1"/>
      </rPr>
      <t>The test result is consistent with the expected result, the test passed.
F</t>
    </r>
    <r>
      <rPr>
        <sz val="12"/>
        <color theme="1"/>
        <rFont val="宋体"/>
        <family val="3"/>
        <charset val="134"/>
      </rPr>
      <t>：</t>
    </r>
    <r>
      <rPr>
        <sz val="12"/>
        <color theme="1"/>
        <rFont val="Times New Roman"/>
        <family val="1"/>
      </rPr>
      <t>The test result is not consistent with the expected result, the test failed.
NT</t>
    </r>
    <r>
      <rPr>
        <sz val="12"/>
        <color theme="1"/>
        <rFont val="宋体"/>
        <family val="3"/>
        <charset val="134"/>
      </rPr>
      <t>：</t>
    </r>
    <r>
      <rPr>
        <sz val="12"/>
        <color theme="1"/>
        <rFont val="Times New Roman"/>
        <family val="1"/>
      </rPr>
      <t>The current test environment is not satisfied or the software is not developed.
NA</t>
    </r>
    <r>
      <rPr>
        <sz val="12"/>
        <color theme="1"/>
        <rFont val="宋体"/>
        <family val="3"/>
        <charset val="134"/>
      </rPr>
      <t>：</t>
    </r>
    <r>
      <rPr>
        <sz val="12"/>
        <color theme="1"/>
        <rFont val="Times New Roman"/>
        <family val="1"/>
      </rPr>
      <t>Use case not applicable or not selected.</t>
    </r>
    <phoneticPr fontId="10" type="noConversion"/>
  </si>
  <si>
    <t>Fail</t>
  </si>
  <si>
    <t>NRC回复错误，此时应该回复NRC 12,因为在表格中编程会话不支持抑制位</t>
    <phoneticPr fontId="4" type="noConversion"/>
  </si>
  <si>
    <t>测似步骤5中，函数使用错误</t>
    <phoneticPr fontId="4" type="noConversion"/>
  </si>
  <si>
    <t>Diag_0x10_Phy_011</t>
    <phoneticPr fontId="4" type="noConversion"/>
  </si>
  <si>
    <t>1.Send DiagBy[Physical]Data[10 01];
2.Send DiagBy[Physical]Data[10 82];</t>
    <phoneticPr fontId="4" type="noConversion"/>
  </si>
  <si>
    <t>Pass</t>
  </si>
  <si>
    <r>
      <t>缺少主要步骤，当前应该是在默认会话下验证Service</t>
    </r>
    <r>
      <rPr>
        <sz val="10"/>
        <rFont val="宋体"/>
        <family val="3"/>
        <charset val="134"/>
      </rPr>
      <t xml:space="preserve"> 0x11</t>
    </r>
    <phoneticPr fontId="4" type="noConversion"/>
  </si>
  <si>
    <t>需要填充数据，但目前调查表没有给出对应格式</t>
    <phoneticPr fontId="4" type="noConversion"/>
  </si>
  <si>
    <t>1.Send DiagBy[Physical]Data[10 01];
2.Delay[1000]ms;
3.Send DiagBy[Physical]Data[10 03];
4.Send DiagBy[Physical]Data[27 01]AndCheckResp[PositiveResponse];
5.Send Security Right KeyBy[Physical]Level[02];
6.Send DiagBy[Physical]Data[11 01];
7.Delay[1000]ms;</t>
    <phoneticPr fontId="4" type="noConversion"/>
  </si>
  <si>
    <t>测试过程第10步，函数使用错误，应该使用Send DiagBy[Physical]Data[27 01]AndCheckResp[PositiveResponse];</t>
    <phoneticPr fontId="4" type="noConversion"/>
  </si>
  <si>
    <t>C. Communication Control State Reset</t>
    <phoneticPr fontId="4" type="noConversion"/>
  </si>
  <si>
    <t>1.Check DiagData[50 01 00 32 00 C8]Within[50]ms;</t>
    <phoneticPr fontId="4" type="noConversion"/>
  </si>
  <si>
    <t>1.Check DiagData[50 01 00 32 00 C8]Within[50]ms;
3.Check DiagData[50 03 00 32 00 C8]Within[50]ms;
4.Check DiagData[68 01]Within[50]ms;
5.Check DiagData[51 01]Within[50]ms;
7.Check DiagData[62 F6 C3]Within[50]ms;</t>
    <phoneticPr fontId="4" type="noConversion"/>
  </si>
  <si>
    <t>仅验证服务本身就行，这里发送了Service 0x28，与后面重复，且这里未做任何与信号相关的检查</t>
  </si>
  <si>
    <t>1.Check DiagData[50 01 00 32 00 C8]Within[50]ms;
3.Check DiagData[50 03 00 32 00 C8]Within[50]ms;
6.Check DiagData[7F 11 22]Within[50]ms;</t>
    <phoneticPr fontId="4" type="noConversion"/>
  </si>
  <si>
    <t>未正确填充数据</t>
    <phoneticPr fontId="4" type="noConversion"/>
  </si>
  <si>
    <r>
      <t>需要回复NRC</t>
    </r>
    <r>
      <rPr>
        <sz val="10"/>
        <rFont val="宋体"/>
        <family val="3"/>
        <charset val="134"/>
      </rPr>
      <t xml:space="preserve"> 0x11</t>
    </r>
    <phoneticPr fontId="4" type="noConversion"/>
  </si>
  <si>
    <t>Diag_0x14_Fun_001</t>
    <phoneticPr fontId="4" type="noConversion"/>
  </si>
  <si>
    <t>1. Send DiagBy[Physical]Data[10 01];
2. Delay[1000]ms;
3. Send DiagBy[Physical]Data[10 03];
4. Send DiagBy[Physical]Data[31 01 02 03];
5. Send DiagBy[Physical]Data[10 02];
6. Send DiagBy[Physical]Data[10 01];
7. Send DiagBy[Function]Data[14 FF FF FF];</t>
    <phoneticPr fontId="4" type="noConversion"/>
  </si>
  <si>
    <t>1.31 01 02 03不支持
2.要回复NRC 0x11</t>
    <phoneticPr fontId="4" type="noConversion"/>
  </si>
  <si>
    <t>格式错误</t>
    <phoneticPr fontId="4" type="noConversion"/>
  </si>
  <si>
    <t>不支持31 01 02 03</t>
  </si>
  <si>
    <t>1.Send DiagBy[Physical]Data[10 03];
2.Send DiagBy[Physical]Data[27 03]AndCheckResp[PositiveResponse];
3.Send Security Right KeyBy[Physical]Level[04];</t>
    <phoneticPr fontId="4" type="noConversion"/>
  </si>
  <si>
    <t>不支持27 03，这里要回复NRC 12，而不是PositiveResponse</t>
    <phoneticPr fontId="4" type="noConversion"/>
  </si>
  <si>
    <t>需要同时具备多个故障，然后查看ECU具体回复的优先级</t>
    <phoneticPr fontId="4" type="noConversion"/>
  </si>
  <si>
    <t>1.Check DiagData[50 03 XX XX XX XX]Within[50]ms;
2.Check DiagData[7F 27 13]Within[50]ms;</t>
    <phoneticPr fontId="4" type="noConversion"/>
  </si>
  <si>
    <t>Block</t>
  </si>
  <si>
    <t>NRC 13&gt;12&gt;37&gt;22</t>
    <phoneticPr fontId="4" type="noConversion"/>
  </si>
  <si>
    <t>优先级覆盖不全</t>
    <phoneticPr fontId="4" type="noConversion"/>
  </si>
  <si>
    <t>1.Check DiagData[50 01 XX XX XX XX]Within[50]ms;
3.Check DiagData[50 03 XX XX XX XX]Within[50]ms;
4.Check DiagData[71 01 02 03 00]Within[50]ms;
5.Check DiagData[50 02 XX XX XX XX]Within[50]ms;
6.Check DiagData[50 01 XX XX XX XX]Within[50]ms;</t>
    <phoneticPr fontId="4" type="noConversion"/>
  </si>
  <si>
    <t>Boot - Meets the maximum of 3 failed attempts (wrong key); does not meet the reverse test case with a lockout time of 10 seconds</t>
    <phoneticPr fontId="4" type="noConversion"/>
  </si>
  <si>
    <t>1.Send DiagBy[Physical]Data[10 01];
2.Delay[1000]ms;
3.Send DiagBy[Physical]Data[10 03];
4.Send DiagBy[Physical]Data[31 01 02 03];
5.Send DiagBy[Physical]Data[10 02];
6.Send DiagBy[Physical]Data[10 01];
7.Send DiagBy[Function]Data[27 01];</t>
    <phoneticPr fontId="4" type="noConversion"/>
  </si>
  <si>
    <r>
      <t>Send DiagBy[Physical]Data[31 01 02 03]不持支</t>
    </r>
    <r>
      <rPr>
        <sz val="10"/>
        <rFont val="宋体"/>
        <family val="3"/>
        <charset val="134"/>
      </rPr>
      <t>31 01 02 03</t>
    </r>
    <phoneticPr fontId="4" type="noConversion"/>
  </si>
  <si>
    <t>1.Send DiagBy[Physical]Data[10 01];
2.Send DiagBy[Physical]Data[27 01]AndCheckResp[7F 27 7F];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</si>
</sst>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0" formatCode="[$-804]General"/>
  </numFmts>
  <fonts count="20" x14ac:knownFonts="1">
    <font>
      <sz val="11"/>
      <color theme="1"/>
      <name val="宋体"/>
      <family val="2"/>
      <scheme val="minor"/>
    </font>
    <font>
      <b/>
      <sz val="10"/>
      <color rgb="FFFFFFFF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0"/>
      <color theme="1"/>
      <name val="Arial"/>
      <family val="2"/>
      <charset val="134"/>
    </font>
    <font>
      <b/>
      <sz val="12"/>
      <color theme="1"/>
      <name val="宋体"/>
      <family val="3"/>
      <charset val="134"/>
    </font>
    <font>
      <b/>
      <sz val="12"/>
      <color theme="1"/>
      <name val="Times New Roman"/>
      <family val="1"/>
    </font>
    <font>
      <sz val="9"/>
      <name val="Arial"/>
      <family val="2"/>
      <charset val="134"/>
    </font>
    <font>
      <b/>
      <sz val="10"/>
      <color theme="1"/>
      <name val="Times New Roman"/>
      <family val="1"/>
    </font>
    <font>
      <b/>
      <sz val="8"/>
      <color theme="1"/>
      <name val="宋体"/>
      <family val="3"/>
      <charset val="134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FF0000"/>
      <name val="宋体"/>
      <family val="3"/>
      <charset val="134"/>
    </font>
    <font>
      <sz val="10"/>
      <name val="微软雅黑"/>
      <family val="2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0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5" fillId="0" borderId="0">
      <alignment vertical="center"/>
    </xf>
    <xf numFmtId="0" fontId="7" fillId="0" borderId="0">
      <alignment vertical="center"/>
    </xf>
  </cellStyleXfs>
  <cellXfs count="63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0" fillId="0" borderId="0" xfId="0"/>
    <xf numFmtId="0" fontId="6" fillId="4" borderId="2" xfId="1" applyFont="1" applyFill="1" applyBorder="1" applyAlignment="1">
      <alignment horizontal="center" vertical="center"/>
    </xf>
    <xf numFmtId="0" fontId="6" fillId="4" borderId="3" xfId="1" applyFont="1" applyFill="1" applyBorder="1">
      <alignment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3" xfId="2" applyFont="1" applyFill="1" applyBorder="1" applyAlignment="1">
      <alignment horizontal="center" vertical="center"/>
    </xf>
    <xf numFmtId="0" fontId="6" fillId="4" borderId="4" xfId="2" applyFont="1" applyFill="1" applyBorder="1" applyAlignment="1">
      <alignment vertical="center"/>
    </xf>
    <xf numFmtId="0" fontId="6" fillId="4" borderId="0" xfId="2" applyFont="1" applyFill="1">
      <alignment vertical="center"/>
    </xf>
    <xf numFmtId="0" fontId="8" fillId="4" borderId="5" xfId="2" applyFont="1" applyFill="1" applyBorder="1">
      <alignment vertical="center"/>
    </xf>
    <xf numFmtId="0" fontId="8" fillId="4" borderId="0" xfId="2" applyFont="1" applyFill="1">
      <alignment vertical="center"/>
    </xf>
    <xf numFmtId="0" fontId="9" fillId="4" borderId="6" xfId="2" applyFont="1" applyFill="1" applyBorder="1" applyAlignment="1">
      <alignment horizontal="center" vertical="center" wrapText="1"/>
    </xf>
    <xf numFmtId="0" fontId="11" fillId="4" borderId="7" xfId="2" applyFont="1" applyFill="1" applyBorder="1" applyAlignment="1">
      <alignment horizontal="left" vertical="center" wrapText="1"/>
    </xf>
    <xf numFmtId="0" fontId="9" fillId="4" borderId="6" xfId="2" applyFont="1" applyFill="1" applyBorder="1" applyAlignment="1">
      <alignment horizontal="center" vertical="center"/>
    </xf>
    <xf numFmtId="0" fontId="8" fillId="4" borderId="6" xfId="2" applyFont="1" applyFill="1" applyBorder="1" applyAlignment="1">
      <alignment horizontal="center" vertical="center"/>
    </xf>
    <xf numFmtId="0" fontId="8" fillId="4" borderId="6" xfId="2" applyFont="1" applyFill="1" applyBorder="1" applyAlignment="1">
      <alignment horizontal="center" vertical="center" wrapText="1"/>
    </xf>
    <xf numFmtId="0" fontId="8" fillId="4" borderId="8" xfId="2" applyFont="1" applyFill="1" applyBorder="1" applyAlignment="1">
      <alignment horizontal="center" vertical="center"/>
    </xf>
    <xf numFmtId="0" fontId="6" fillId="4" borderId="5" xfId="2" applyFont="1" applyFill="1" applyBorder="1">
      <alignment vertical="center"/>
    </xf>
    <xf numFmtId="0" fontId="13" fillId="4" borderId="1" xfId="2" applyFont="1" applyFill="1" applyBorder="1">
      <alignment vertical="center"/>
    </xf>
    <xf numFmtId="0" fontId="13" fillId="4" borderId="1" xfId="2" applyFont="1" applyFill="1" applyBorder="1" applyAlignment="1">
      <alignment horizontal="center" vertical="center"/>
    </xf>
    <xf numFmtId="10" fontId="13" fillId="4" borderId="9" xfId="2" applyNumberFormat="1" applyFont="1" applyFill="1" applyBorder="1" applyAlignment="1">
      <alignment horizontal="center" vertical="center"/>
    </xf>
    <xf numFmtId="10" fontId="13" fillId="4" borderId="1" xfId="2" applyNumberFormat="1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0" fontId="13" fillId="4" borderId="9" xfId="2" applyFont="1" applyFill="1" applyBorder="1" applyAlignment="1">
      <alignment horizontal="center" vertical="center"/>
    </xf>
    <xf numFmtId="0" fontId="9" fillId="4" borderId="0" xfId="2" applyFont="1" applyFill="1" applyAlignment="1">
      <alignment horizontal="center" vertical="center"/>
    </xf>
    <xf numFmtId="0" fontId="13" fillId="4" borderId="0" xfId="2" applyFont="1" applyFill="1" applyAlignment="1">
      <alignment horizontal="center" vertical="center"/>
    </xf>
    <xf numFmtId="0" fontId="13" fillId="4" borderId="0" xfId="2" applyFont="1" applyFill="1" applyBorder="1" applyAlignment="1">
      <alignment horizontal="center" vertical="center"/>
    </xf>
    <xf numFmtId="0" fontId="13" fillId="4" borderId="0" xfId="2" applyFont="1" applyFill="1" applyAlignment="1">
      <alignment horizontal="right" vertical="center"/>
    </xf>
    <xf numFmtId="0" fontId="13" fillId="4" borderId="10" xfId="2" applyFont="1" applyFill="1" applyBorder="1" applyAlignment="1">
      <alignment horizontal="center" vertical="center"/>
    </xf>
    <xf numFmtId="0" fontId="14" fillId="4" borderId="0" xfId="2" applyFont="1" applyFill="1" applyAlignment="1">
      <alignment horizontal="center" vertical="center"/>
    </xf>
    <xf numFmtId="0" fontId="13" fillId="4" borderId="11" xfId="2" applyFont="1" applyFill="1" applyBorder="1" applyAlignment="1">
      <alignment horizontal="center" vertical="center"/>
    </xf>
    <xf numFmtId="14" fontId="13" fillId="4" borderId="11" xfId="2" applyNumberFormat="1" applyFont="1" applyFill="1" applyBorder="1" applyAlignment="1">
      <alignment horizontal="center" vertical="center"/>
    </xf>
    <xf numFmtId="0" fontId="6" fillId="4" borderId="11" xfId="2" applyFont="1" applyFill="1" applyBorder="1" applyAlignment="1">
      <alignment horizontal="center" vertical="center"/>
    </xf>
    <xf numFmtId="0" fontId="6" fillId="4" borderId="0" xfId="2" applyFont="1" applyFill="1" applyAlignment="1">
      <alignment horizontal="right" vertical="center"/>
    </xf>
    <xf numFmtId="0" fontId="6" fillId="4" borderId="0" xfId="2" applyFont="1" applyFill="1" applyAlignment="1">
      <alignment horizontal="center" vertical="center"/>
    </xf>
    <xf numFmtId="0" fontId="6" fillId="4" borderId="0" xfId="2" applyFont="1" applyFill="1" applyBorder="1" applyAlignment="1">
      <alignment horizontal="center" vertical="center"/>
    </xf>
    <xf numFmtId="0" fontId="13" fillId="4" borderId="0" xfId="2" applyFont="1" applyFill="1">
      <alignment vertical="center"/>
    </xf>
    <xf numFmtId="0" fontId="6" fillId="4" borderId="13" xfId="2" applyFont="1" applyFill="1" applyBorder="1">
      <alignment vertical="center"/>
    </xf>
    <xf numFmtId="0" fontId="6" fillId="4" borderId="10" xfId="2" applyFont="1" applyFill="1" applyBorder="1" applyAlignment="1">
      <alignment horizontal="center" vertical="center"/>
    </xf>
    <xf numFmtId="0" fontId="6" fillId="4" borderId="14" xfId="2" applyFont="1" applyFill="1" applyBorder="1" applyAlignment="1">
      <alignment vertical="center"/>
    </xf>
    <xf numFmtId="0" fontId="16" fillId="0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9" fillId="4" borderId="1" xfId="2" applyFont="1" applyFill="1" applyBorder="1" applyAlignment="1">
      <alignment horizontal="center" vertical="center"/>
    </xf>
    <xf numFmtId="0" fontId="13" fillId="4" borderId="9" xfId="2" applyFont="1" applyFill="1" applyBorder="1" applyAlignment="1">
      <alignment horizontal="center" vertical="center"/>
    </xf>
    <xf numFmtId="0" fontId="13" fillId="4" borderId="12" xfId="2" applyFont="1" applyFill="1" applyBorder="1" applyAlignment="1">
      <alignment horizontal="center" vertical="center"/>
    </xf>
    <xf numFmtId="0" fontId="13" fillId="4" borderId="0" xfId="2" applyFont="1" applyFill="1" applyAlignment="1">
      <alignment horizontal="left" vertical="top" wrapText="1"/>
    </xf>
    <xf numFmtId="0" fontId="13" fillId="4" borderId="0" xfId="2" applyFont="1" applyFill="1" applyAlignment="1">
      <alignment horizontal="left" vertical="top"/>
    </xf>
    <xf numFmtId="0" fontId="13" fillId="4" borderId="10" xfId="2" applyFont="1" applyFill="1" applyBorder="1" applyAlignment="1">
      <alignment horizontal="left" vertical="top"/>
    </xf>
    <xf numFmtId="0" fontId="17" fillId="0" borderId="1" xfId="0" applyFont="1" applyBorder="1" applyAlignment="1">
      <alignment vertical="top" wrapText="1"/>
    </xf>
    <xf numFmtId="0" fontId="18" fillId="3" borderId="1" xfId="0" applyFont="1" applyFill="1" applyBorder="1" applyAlignment="1">
      <alignment vertical="center"/>
    </xf>
    <xf numFmtId="0" fontId="19" fillId="0" borderId="15" xfId="0" applyFont="1" applyBorder="1" applyAlignment="1">
      <alignment vertical="top" wrapText="1"/>
    </xf>
    <xf numFmtId="0" fontId="19" fillId="0" borderId="16" xfId="0" applyFont="1" applyBorder="1" applyAlignment="1">
      <alignment vertical="top" wrapText="1"/>
    </xf>
  </cellXfs>
  <cellStyles count="3">
    <cellStyle name="常规" xfId="0" builtinId="0"/>
    <cellStyle name="常规 3 2" xfId="2"/>
    <cellStyle name="常规 4 2 2 2" xfId="1"/>
  </cellStyles>
  <dxfs count="1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2"/>
  <sheetViews>
    <sheetView topLeftCell="A155" workbookViewId="0">
      <selection activeCell="I160" sqref="I160"/>
    </sheetView>
  </sheetViews>
  <sheetFormatPr defaultRowHeight="14.4" x14ac:dyDescent="0.25"/>
  <cols>
    <col min="1" max="1" width="12" customWidth="1"/>
    <col min="2" max="3" width="18" customWidth="1"/>
    <col min="4" max="4" width="21.21875" customWidth="1"/>
    <col min="5" max="5" width="8" customWidth="1"/>
    <col min="6" max="6" width="10" customWidth="1"/>
    <col min="7" max="7" width="16" customWidth="1"/>
    <col min="8" max="8" width="14" customWidth="1"/>
    <col min="9" max="10" width="50" customWidth="1"/>
    <col min="11" max="11" width="12" customWidth="1"/>
    <col min="12" max="12" width="10" customWidth="1"/>
    <col min="13" max="13" width="12" customWidth="1"/>
    <col min="14" max="16" width="10" customWidth="1"/>
  </cols>
  <sheetData>
    <row r="1" spans="1:16" x14ac:dyDescent="0.25">
      <c r="B1" s="1" t="s">
        <v>0</v>
      </c>
      <c r="C1" s="1" t="s">
        <v>1</v>
      </c>
    </row>
    <row r="2" spans="1:16" x14ac:dyDescent="0.25">
      <c r="A2" s="48" t="s">
        <v>2</v>
      </c>
      <c r="B2" s="50" t="s">
        <v>3</v>
      </c>
      <c r="C2" s="48" t="s">
        <v>4</v>
      </c>
      <c r="D2" s="47"/>
      <c r="E2" s="47"/>
      <c r="F2" s="49"/>
      <c r="G2" s="50" t="s">
        <v>5</v>
      </c>
      <c r="H2" s="50" t="s">
        <v>6</v>
      </c>
      <c r="I2" s="50" t="s">
        <v>7</v>
      </c>
      <c r="J2" s="50" t="s">
        <v>8</v>
      </c>
      <c r="K2" s="50" t="s">
        <v>9</v>
      </c>
      <c r="L2" s="50" t="s">
        <v>10</v>
      </c>
      <c r="M2" s="50" t="s">
        <v>11</v>
      </c>
    </row>
    <row r="3" spans="1:16" x14ac:dyDescent="0.25">
      <c r="A3" s="49"/>
      <c r="B3" s="49"/>
      <c r="C3" s="2" t="s">
        <v>12</v>
      </c>
      <c r="D3" s="2" t="s">
        <v>13</v>
      </c>
      <c r="E3" s="2" t="s">
        <v>14</v>
      </c>
      <c r="F3" s="2" t="s">
        <v>15</v>
      </c>
      <c r="G3" s="49"/>
      <c r="H3" s="49"/>
      <c r="I3" s="49"/>
      <c r="J3" s="49"/>
      <c r="K3" s="49"/>
      <c r="L3" s="49"/>
      <c r="M3" s="49"/>
    </row>
    <row r="4" spans="1:16" x14ac:dyDescent="0.25">
      <c r="A4" s="46" t="s">
        <v>16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</row>
    <row r="5" spans="1:16" x14ac:dyDescent="0.25">
      <c r="A5" s="46" t="s">
        <v>17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</row>
    <row r="6" spans="1:16" ht="36" x14ac:dyDescent="0.25">
      <c r="A6" s="3">
        <v>1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/>
      <c r="L6" s="43" t="s">
        <v>808</v>
      </c>
      <c r="M6" s="4"/>
      <c r="N6" s="4"/>
      <c r="O6" s="4"/>
      <c r="P6" s="4"/>
    </row>
    <row r="7" spans="1:16" ht="36" x14ac:dyDescent="0.25">
      <c r="A7" s="3">
        <v>2</v>
      </c>
      <c r="B7" s="4" t="s">
        <v>18</v>
      </c>
      <c r="C7" s="4" t="s">
        <v>27</v>
      </c>
      <c r="D7" s="4" t="s">
        <v>28</v>
      </c>
      <c r="E7" s="4" t="s">
        <v>21</v>
      </c>
      <c r="F7" s="4" t="s">
        <v>22</v>
      </c>
      <c r="G7" s="4" t="s">
        <v>23</v>
      </c>
      <c r="H7" s="4" t="s">
        <v>24</v>
      </c>
      <c r="I7" s="4" t="s">
        <v>29</v>
      </c>
      <c r="J7" s="4" t="s">
        <v>30</v>
      </c>
      <c r="K7" s="4"/>
      <c r="L7" s="43" t="s">
        <v>808</v>
      </c>
      <c r="M7" s="4"/>
      <c r="N7" s="4"/>
      <c r="O7" s="4"/>
      <c r="P7" s="4"/>
    </row>
    <row r="8" spans="1:16" ht="36" x14ac:dyDescent="0.25">
      <c r="A8" s="3">
        <v>3</v>
      </c>
      <c r="B8" s="4" t="s">
        <v>18</v>
      </c>
      <c r="C8" s="4" t="s">
        <v>31</v>
      </c>
      <c r="D8" s="4" t="s">
        <v>32</v>
      </c>
      <c r="E8" s="4" t="s">
        <v>21</v>
      </c>
      <c r="F8" s="4" t="s">
        <v>22</v>
      </c>
      <c r="G8" s="4" t="s">
        <v>23</v>
      </c>
      <c r="H8" s="4" t="s">
        <v>24</v>
      </c>
      <c r="I8" s="4" t="s">
        <v>33</v>
      </c>
      <c r="J8" s="4" t="s">
        <v>34</v>
      </c>
      <c r="K8" s="4"/>
      <c r="L8" s="43" t="s">
        <v>808</v>
      </c>
      <c r="M8" s="4"/>
      <c r="N8" s="4"/>
      <c r="O8" s="4"/>
      <c r="P8" s="4"/>
    </row>
    <row r="9" spans="1:16" ht="48" x14ac:dyDescent="0.25">
      <c r="A9" s="3">
        <v>4</v>
      </c>
      <c r="B9" s="4" t="s">
        <v>18</v>
      </c>
      <c r="C9" s="4" t="s">
        <v>35</v>
      </c>
      <c r="D9" s="4" t="s">
        <v>36</v>
      </c>
      <c r="E9" s="4" t="s">
        <v>21</v>
      </c>
      <c r="F9" s="4" t="s">
        <v>22</v>
      </c>
      <c r="G9" s="4" t="s">
        <v>23</v>
      </c>
      <c r="H9" s="4" t="s">
        <v>24</v>
      </c>
      <c r="I9" s="4" t="s">
        <v>37</v>
      </c>
      <c r="J9" s="4" t="s">
        <v>38</v>
      </c>
      <c r="K9" s="4"/>
      <c r="L9" s="43" t="s">
        <v>808</v>
      </c>
      <c r="M9" s="4"/>
      <c r="N9" s="4"/>
      <c r="O9" s="4"/>
      <c r="P9" s="4"/>
    </row>
    <row r="10" spans="1:16" ht="48" x14ac:dyDescent="0.25">
      <c r="A10" s="3">
        <v>5</v>
      </c>
      <c r="B10" s="4" t="s">
        <v>18</v>
      </c>
      <c r="C10" s="4" t="s">
        <v>39</v>
      </c>
      <c r="D10" s="4" t="s">
        <v>40</v>
      </c>
      <c r="E10" s="4" t="s">
        <v>21</v>
      </c>
      <c r="F10" s="4" t="s">
        <v>22</v>
      </c>
      <c r="G10" s="4" t="s">
        <v>23</v>
      </c>
      <c r="H10" s="4" t="s">
        <v>24</v>
      </c>
      <c r="I10" s="4" t="s">
        <v>41</v>
      </c>
      <c r="J10" s="4" t="s">
        <v>42</v>
      </c>
      <c r="K10" s="4"/>
      <c r="L10" s="43" t="s">
        <v>808</v>
      </c>
      <c r="M10" s="4"/>
      <c r="N10" s="4"/>
      <c r="O10" s="4"/>
      <c r="P10" s="4"/>
    </row>
    <row r="11" spans="1:16" ht="48" x14ac:dyDescent="0.25">
      <c r="A11" s="3">
        <v>6</v>
      </c>
      <c r="B11" s="4" t="s">
        <v>18</v>
      </c>
      <c r="C11" s="4" t="s">
        <v>43</v>
      </c>
      <c r="D11" s="4" t="s">
        <v>44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45</v>
      </c>
      <c r="J11" s="4" t="s">
        <v>46</v>
      </c>
      <c r="K11" s="4"/>
      <c r="L11" s="43" t="s">
        <v>808</v>
      </c>
      <c r="M11" s="4"/>
      <c r="N11" s="4"/>
      <c r="O11" s="4"/>
      <c r="P11" s="4"/>
    </row>
    <row r="12" spans="1:16" ht="60" x14ac:dyDescent="0.25">
      <c r="A12" s="3">
        <v>7</v>
      </c>
      <c r="B12" s="4" t="s">
        <v>18</v>
      </c>
      <c r="C12" s="4" t="s">
        <v>47</v>
      </c>
      <c r="D12" s="4" t="s">
        <v>48</v>
      </c>
      <c r="E12" s="4" t="s">
        <v>21</v>
      </c>
      <c r="F12" s="4" t="s">
        <v>22</v>
      </c>
      <c r="G12" s="4" t="s">
        <v>23</v>
      </c>
      <c r="H12" s="4" t="s">
        <v>24</v>
      </c>
      <c r="I12" s="4" t="s">
        <v>49</v>
      </c>
      <c r="J12" s="4" t="s">
        <v>50</v>
      </c>
      <c r="K12" s="4"/>
      <c r="L12" s="43" t="s">
        <v>808</v>
      </c>
      <c r="M12" s="4"/>
      <c r="N12" s="4"/>
      <c r="O12" s="4"/>
      <c r="P12" s="4"/>
    </row>
    <row r="13" spans="1:16" ht="60" x14ac:dyDescent="0.25">
      <c r="A13" s="3">
        <v>8</v>
      </c>
      <c r="B13" s="4" t="s">
        <v>18</v>
      </c>
      <c r="C13" s="4" t="s">
        <v>51</v>
      </c>
      <c r="D13" s="4" t="s">
        <v>52</v>
      </c>
      <c r="E13" s="4" t="s">
        <v>21</v>
      </c>
      <c r="F13" s="4" t="s">
        <v>22</v>
      </c>
      <c r="G13" s="4" t="s">
        <v>23</v>
      </c>
      <c r="H13" s="4" t="s">
        <v>24</v>
      </c>
      <c r="I13" s="4" t="s">
        <v>53</v>
      </c>
      <c r="J13" s="4" t="s">
        <v>54</v>
      </c>
      <c r="K13" s="4"/>
      <c r="L13" s="43" t="s">
        <v>808</v>
      </c>
      <c r="M13" s="4"/>
      <c r="N13" s="4"/>
      <c r="O13" s="4"/>
      <c r="P13" s="4"/>
    </row>
    <row r="14" spans="1:16" ht="60" x14ac:dyDescent="0.25">
      <c r="A14" s="3">
        <v>9</v>
      </c>
      <c r="B14" s="4" t="s">
        <v>18</v>
      </c>
      <c r="C14" s="4" t="s">
        <v>55</v>
      </c>
      <c r="D14" s="4" t="s">
        <v>56</v>
      </c>
      <c r="E14" s="4" t="s">
        <v>21</v>
      </c>
      <c r="F14" s="4" t="s">
        <v>22</v>
      </c>
      <c r="G14" s="4" t="s">
        <v>23</v>
      </c>
      <c r="H14" s="4" t="s">
        <v>24</v>
      </c>
      <c r="I14" s="4" t="s">
        <v>57</v>
      </c>
      <c r="J14" s="4" t="s">
        <v>58</v>
      </c>
      <c r="K14" s="4"/>
      <c r="L14" s="43" t="s">
        <v>808</v>
      </c>
      <c r="M14" s="4"/>
      <c r="N14" s="4"/>
      <c r="O14" s="4"/>
      <c r="P14" s="4"/>
    </row>
    <row r="15" spans="1:16" x14ac:dyDescent="0.25">
      <c r="A15" s="46" t="s">
        <v>59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</row>
    <row r="16" spans="1:16" ht="36" x14ac:dyDescent="0.25">
      <c r="A16" s="3">
        <v>10</v>
      </c>
      <c r="B16" s="4" t="s">
        <v>18</v>
      </c>
      <c r="C16" s="4" t="s">
        <v>60</v>
      </c>
      <c r="D16" s="4" t="s">
        <v>61</v>
      </c>
      <c r="E16" s="4" t="s">
        <v>21</v>
      </c>
      <c r="F16" s="4" t="s">
        <v>22</v>
      </c>
      <c r="G16" s="4" t="s">
        <v>23</v>
      </c>
      <c r="H16" s="4" t="s">
        <v>24</v>
      </c>
      <c r="I16" s="4" t="s">
        <v>62</v>
      </c>
      <c r="J16" s="4" t="s">
        <v>63</v>
      </c>
      <c r="K16" s="4"/>
      <c r="L16" s="43" t="s">
        <v>808</v>
      </c>
      <c r="M16" s="4"/>
      <c r="N16" s="4"/>
      <c r="O16" s="4"/>
      <c r="P16" s="4"/>
    </row>
    <row r="17" spans="1:16" ht="84" x14ac:dyDescent="0.25">
      <c r="A17" s="3">
        <v>11</v>
      </c>
      <c r="B17" s="4" t="s">
        <v>18</v>
      </c>
      <c r="C17" s="59" t="s">
        <v>806</v>
      </c>
      <c r="D17" s="4" t="s">
        <v>65</v>
      </c>
      <c r="E17" s="4" t="s">
        <v>21</v>
      </c>
      <c r="F17" s="4" t="s">
        <v>22</v>
      </c>
      <c r="G17" s="4" t="s">
        <v>23</v>
      </c>
      <c r="H17" s="4" t="s">
        <v>24</v>
      </c>
      <c r="I17" s="59" t="s">
        <v>807</v>
      </c>
      <c r="J17" s="4" t="s">
        <v>30</v>
      </c>
      <c r="K17" s="59" t="s">
        <v>804</v>
      </c>
      <c r="L17" s="43" t="s">
        <v>803</v>
      </c>
      <c r="M17" s="4"/>
      <c r="N17" s="4"/>
      <c r="O17" s="4"/>
      <c r="P17" s="4"/>
    </row>
    <row r="18" spans="1:16" ht="36" x14ac:dyDescent="0.25">
      <c r="A18" s="3">
        <v>12</v>
      </c>
      <c r="B18" s="4" t="s">
        <v>18</v>
      </c>
      <c r="C18" s="4" t="s">
        <v>66</v>
      </c>
      <c r="D18" s="4" t="s">
        <v>67</v>
      </c>
      <c r="E18" s="4" t="s">
        <v>21</v>
      </c>
      <c r="F18" s="4" t="s">
        <v>22</v>
      </c>
      <c r="G18" s="4" t="s">
        <v>23</v>
      </c>
      <c r="H18" s="4" t="s">
        <v>24</v>
      </c>
      <c r="I18" s="4" t="s">
        <v>68</v>
      </c>
      <c r="J18" s="4" t="s">
        <v>63</v>
      </c>
      <c r="K18" s="4"/>
      <c r="L18" s="43" t="s">
        <v>808</v>
      </c>
      <c r="M18" s="4"/>
      <c r="N18" s="4"/>
      <c r="O18" s="4"/>
      <c r="P18" s="4"/>
    </row>
    <row r="19" spans="1:16" ht="48" x14ac:dyDescent="0.25">
      <c r="A19" s="3">
        <v>13</v>
      </c>
      <c r="B19" s="4" t="s">
        <v>18</v>
      </c>
      <c r="C19" s="4" t="s">
        <v>69</v>
      </c>
      <c r="D19" s="4" t="s">
        <v>70</v>
      </c>
      <c r="E19" s="4" t="s">
        <v>21</v>
      </c>
      <c r="F19" s="4" t="s">
        <v>22</v>
      </c>
      <c r="G19" s="4" t="s">
        <v>23</v>
      </c>
      <c r="H19" s="4" t="s">
        <v>24</v>
      </c>
      <c r="I19" s="4" t="s">
        <v>71</v>
      </c>
      <c r="J19" s="4" t="s">
        <v>72</v>
      </c>
      <c r="K19" s="4"/>
      <c r="L19" s="43" t="s">
        <v>808</v>
      </c>
      <c r="M19" s="4"/>
      <c r="N19" s="4"/>
      <c r="O19" s="4"/>
      <c r="P19" s="4"/>
    </row>
    <row r="20" spans="1:16" ht="84" x14ac:dyDescent="0.25">
      <c r="A20" s="3">
        <v>14</v>
      </c>
      <c r="B20" s="4" t="s">
        <v>18</v>
      </c>
      <c r="C20" s="4" t="s">
        <v>73</v>
      </c>
      <c r="D20" s="4" t="s">
        <v>74</v>
      </c>
      <c r="E20" s="4" t="s">
        <v>21</v>
      </c>
      <c r="F20" s="4" t="s">
        <v>22</v>
      </c>
      <c r="G20" s="4" t="s">
        <v>23</v>
      </c>
      <c r="H20" s="4" t="s">
        <v>24</v>
      </c>
      <c r="I20" s="4" t="s">
        <v>75</v>
      </c>
      <c r="J20" s="4" t="s">
        <v>42</v>
      </c>
      <c r="K20" s="59" t="s">
        <v>804</v>
      </c>
      <c r="L20" s="43" t="s">
        <v>803</v>
      </c>
      <c r="M20" s="4"/>
      <c r="N20" s="4"/>
      <c r="O20" s="4"/>
      <c r="P20" s="4"/>
    </row>
    <row r="21" spans="1:16" ht="48" x14ac:dyDescent="0.25">
      <c r="A21" s="3">
        <v>15</v>
      </c>
      <c r="B21" s="4" t="s">
        <v>18</v>
      </c>
      <c r="C21" s="4" t="s">
        <v>76</v>
      </c>
      <c r="D21" s="4" t="s">
        <v>77</v>
      </c>
      <c r="E21" s="4" t="s">
        <v>21</v>
      </c>
      <c r="F21" s="4" t="s">
        <v>22</v>
      </c>
      <c r="G21" s="4" t="s">
        <v>23</v>
      </c>
      <c r="H21" s="4" t="s">
        <v>24</v>
      </c>
      <c r="I21" s="4" t="s">
        <v>78</v>
      </c>
      <c r="J21" s="4" t="s">
        <v>72</v>
      </c>
      <c r="K21" s="4"/>
      <c r="L21" s="43" t="s">
        <v>808</v>
      </c>
      <c r="M21" s="4"/>
      <c r="N21" s="4"/>
      <c r="O21" s="4"/>
      <c r="P21" s="4"/>
    </row>
    <row r="22" spans="1:16" ht="60" x14ac:dyDescent="0.25">
      <c r="A22" s="3">
        <v>16</v>
      </c>
      <c r="B22" s="4" t="s">
        <v>18</v>
      </c>
      <c r="C22" s="4" t="s">
        <v>79</v>
      </c>
      <c r="D22" s="4" t="s">
        <v>80</v>
      </c>
      <c r="E22" s="4" t="s">
        <v>21</v>
      </c>
      <c r="F22" s="4" t="s">
        <v>22</v>
      </c>
      <c r="G22" s="4" t="s">
        <v>23</v>
      </c>
      <c r="H22" s="4" t="s">
        <v>24</v>
      </c>
      <c r="I22" s="4" t="s">
        <v>81</v>
      </c>
      <c r="J22" s="4" t="s">
        <v>82</v>
      </c>
      <c r="K22" s="4"/>
      <c r="L22" s="43" t="s">
        <v>808</v>
      </c>
      <c r="M22" s="4"/>
      <c r="N22" s="4"/>
      <c r="O22" s="4"/>
      <c r="P22" s="4"/>
    </row>
    <row r="23" spans="1:16" ht="84" x14ac:dyDescent="0.25">
      <c r="A23" s="3">
        <v>17</v>
      </c>
      <c r="B23" s="4" t="s">
        <v>18</v>
      </c>
      <c r="C23" s="4" t="s">
        <v>83</v>
      </c>
      <c r="D23" s="4" t="s">
        <v>84</v>
      </c>
      <c r="E23" s="4" t="s">
        <v>21</v>
      </c>
      <c r="F23" s="4" t="s">
        <v>22</v>
      </c>
      <c r="G23" s="4" t="s">
        <v>23</v>
      </c>
      <c r="H23" s="4" t="s">
        <v>24</v>
      </c>
      <c r="I23" s="4" t="s">
        <v>85</v>
      </c>
      <c r="J23" s="4" t="s">
        <v>54</v>
      </c>
      <c r="K23" s="59" t="s">
        <v>804</v>
      </c>
      <c r="L23" s="43" t="s">
        <v>803</v>
      </c>
      <c r="M23" s="4"/>
      <c r="N23" s="4"/>
      <c r="O23" s="4"/>
      <c r="P23" s="4"/>
    </row>
    <row r="24" spans="1:16" ht="60" x14ac:dyDescent="0.25">
      <c r="A24" s="3">
        <v>18</v>
      </c>
      <c r="B24" s="4" t="s">
        <v>18</v>
      </c>
      <c r="C24" s="4" t="s">
        <v>86</v>
      </c>
      <c r="D24" s="4" t="s">
        <v>87</v>
      </c>
      <c r="E24" s="4" t="s">
        <v>21</v>
      </c>
      <c r="F24" s="4" t="s">
        <v>22</v>
      </c>
      <c r="G24" s="4" t="s">
        <v>23</v>
      </c>
      <c r="H24" s="4" t="s">
        <v>24</v>
      </c>
      <c r="I24" s="4" t="s">
        <v>88</v>
      </c>
      <c r="J24" s="4" t="s">
        <v>82</v>
      </c>
      <c r="K24" s="4"/>
      <c r="L24" s="43" t="s">
        <v>808</v>
      </c>
      <c r="M24" s="4"/>
      <c r="N24" s="4"/>
      <c r="O24" s="4"/>
      <c r="P24" s="4"/>
    </row>
    <row r="25" spans="1:16" x14ac:dyDescent="0.25">
      <c r="A25" s="46" t="s">
        <v>89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</row>
    <row r="26" spans="1:16" ht="84" x14ac:dyDescent="0.25">
      <c r="A26" s="3">
        <v>19</v>
      </c>
      <c r="B26" s="4" t="s">
        <v>18</v>
      </c>
      <c r="C26" s="4" t="s">
        <v>90</v>
      </c>
      <c r="D26" s="4" t="s">
        <v>91</v>
      </c>
      <c r="E26" s="4" t="s">
        <v>21</v>
      </c>
      <c r="F26" s="4" t="s">
        <v>22</v>
      </c>
      <c r="G26" s="4" t="s">
        <v>23</v>
      </c>
      <c r="H26" s="4" t="s">
        <v>24</v>
      </c>
      <c r="I26" s="4" t="s">
        <v>92</v>
      </c>
      <c r="J26" s="4" t="s">
        <v>93</v>
      </c>
      <c r="K26" s="4"/>
      <c r="L26" s="43" t="s">
        <v>808</v>
      </c>
      <c r="M26" s="4"/>
      <c r="N26" s="4"/>
      <c r="O26" s="4"/>
      <c r="P26" s="4"/>
    </row>
    <row r="27" spans="1:16" x14ac:dyDescent="0.25">
      <c r="A27" s="46" t="s">
        <v>94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</row>
    <row r="28" spans="1:16" ht="96" x14ac:dyDescent="0.25">
      <c r="A28" s="3">
        <v>20</v>
      </c>
      <c r="B28" s="4" t="s">
        <v>18</v>
      </c>
      <c r="C28" s="4" t="s">
        <v>95</v>
      </c>
      <c r="D28" s="4" t="s">
        <v>96</v>
      </c>
      <c r="E28" s="4" t="s">
        <v>97</v>
      </c>
      <c r="F28" s="4" t="s">
        <v>22</v>
      </c>
      <c r="G28" s="4" t="s">
        <v>23</v>
      </c>
      <c r="H28" s="4" t="s">
        <v>24</v>
      </c>
      <c r="I28" s="4" t="s">
        <v>98</v>
      </c>
      <c r="J28" s="4" t="s">
        <v>99</v>
      </c>
      <c r="K28" s="4"/>
      <c r="L28" s="43" t="s">
        <v>808</v>
      </c>
      <c r="M28" s="4"/>
      <c r="N28" s="4"/>
      <c r="O28" s="4"/>
      <c r="P28" s="4"/>
    </row>
    <row r="29" spans="1:16" ht="72" x14ac:dyDescent="0.25">
      <c r="A29" s="3">
        <v>21</v>
      </c>
      <c r="B29" s="4" t="s">
        <v>18</v>
      </c>
      <c r="C29" s="4" t="s">
        <v>100</v>
      </c>
      <c r="D29" s="4" t="s">
        <v>101</v>
      </c>
      <c r="E29" s="4" t="s">
        <v>97</v>
      </c>
      <c r="F29" s="4" t="s">
        <v>22</v>
      </c>
      <c r="G29" s="4" t="s">
        <v>23</v>
      </c>
      <c r="H29" s="4" t="s">
        <v>24</v>
      </c>
      <c r="I29" s="4" t="s">
        <v>102</v>
      </c>
      <c r="J29" s="4" t="s">
        <v>103</v>
      </c>
      <c r="K29" s="4"/>
      <c r="L29" s="43" t="s">
        <v>808</v>
      </c>
      <c r="M29" s="4"/>
      <c r="N29" s="4"/>
      <c r="O29" s="4"/>
      <c r="P29" s="4"/>
    </row>
    <row r="30" spans="1:16" x14ac:dyDescent="0.25">
      <c r="A30" s="46" t="s">
        <v>104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spans="1:16" ht="48" x14ac:dyDescent="0.25">
      <c r="A31" s="3">
        <v>22</v>
      </c>
      <c r="B31" s="4" t="s">
        <v>18</v>
      </c>
      <c r="C31" s="4" t="s">
        <v>105</v>
      </c>
      <c r="D31" s="4" t="s">
        <v>106</v>
      </c>
      <c r="E31" s="4" t="s">
        <v>107</v>
      </c>
      <c r="F31" s="4" t="s">
        <v>22</v>
      </c>
      <c r="G31" s="4" t="s">
        <v>23</v>
      </c>
      <c r="H31" s="4" t="s">
        <v>24</v>
      </c>
      <c r="I31" s="4" t="s">
        <v>108</v>
      </c>
      <c r="J31" s="4" t="s">
        <v>109</v>
      </c>
      <c r="K31" s="4"/>
      <c r="L31" s="43" t="s">
        <v>808</v>
      </c>
      <c r="M31" s="4"/>
      <c r="N31" s="4"/>
      <c r="O31" s="4"/>
      <c r="P31" s="4"/>
    </row>
    <row r="32" spans="1:16" ht="72" x14ac:dyDescent="0.25">
      <c r="A32" s="3">
        <v>23</v>
      </c>
      <c r="B32" s="4" t="s">
        <v>18</v>
      </c>
      <c r="C32" s="4" t="s">
        <v>110</v>
      </c>
      <c r="D32" s="4" t="s">
        <v>111</v>
      </c>
      <c r="E32" s="4" t="s">
        <v>107</v>
      </c>
      <c r="F32" s="4" t="s">
        <v>22</v>
      </c>
      <c r="G32" s="4" t="s">
        <v>23</v>
      </c>
      <c r="H32" s="4" t="s">
        <v>24</v>
      </c>
      <c r="I32" s="4" t="s">
        <v>112</v>
      </c>
      <c r="J32" s="4" t="s">
        <v>113</v>
      </c>
      <c r="K32" s="4"/>
      <c r="L32" s="43" t="s">
        <v>808</v>
      </c>
      <c r="M32" s="4"/>
      <c r="N32" s="4"/>
      <c r="O32" s="4"/>
      <c r="P32" s="4"/>
    </row>
    <row r="33" spans="1:16" ht="84" x14ac:dyDescent="0.25">
      <c r="A33" s="3">
        <v>24</v>
      </c>
      <c r="B33" s="4" t="s">
        <v>18</v>
      </c>
      <c r="C33" s="4" t="s">
        <v>114</v>
      </c>
      <c r="D33" s="4" t="s">
        <v>115</v>
      </c>
      <c r="E33" s="4" t="s">
        <v>107</v>
      </c>
      <c r="F33" s="4" t="s">
        <v>22</v>
      </c>
      <c r="G33" s="4" t="s">
        <v>23</v>
      </c>
      <c r="H33" s="4" t="s">
        <v>24</v>
      </c>
      <c r="I33" s="4" t="s">
        <v>116</v>
      </c>
      <c r="J33" s="4" t="s">
        <v>42</v>
      </c>
      <c r="K33" s="4"/>
      <c r="L33" s="43" t="s">
        <v>808</v>
      </c>
      <c r="M33" s="4"/>
      <c r="N33" s="4"/>
      <c r="O33" s="4"/>
      <c r="P33" s="4"/>
    </row>
    <row r="34" spans="1:16" x14ac:dyDescent="0.25">
      <c r="A34" s="46" t="s">
        <v>117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spans="1:16" ht="60" x14ac:dyDescent="0.25">
      <c r="A35" s="3">
        <v>25</v>
      </c>
      <c r="B35" s="4" t="s">
        <v>18</v>
      </c>
      <c r="C35" s="4" t="s">
        <v>118</v>
      </c>
      <c r="D35" s="4" t="s">
        <v>119</v>
      </c>
      <c r="E35" s="4" t="s">
        <v>21</v>
      </c>
      <c r="F35" s="4" t="s">
        <v>22</v>
      </c>
      <c r="G35" s="4" t="s">
        <v>23</v>
      </c>
      <c r="H35" s="4" t="s">
        <v>24</v>
      </c>
      <c r="I35" s="4" t="s">
        <v>120</v>
      </c>
      <c r="J35" s="4" t="s">
        <v>121</v>
      </c>
      <c r="K35" s="59" t="s">
        <v>805</v>
      </c>
      <c r="L35" s="43" t="s">
        <v>803</v>
      </c>
      <c r="M35" s="4"/>
      <c r="N35" s="4"/>
      <c r="O35" s="4"/>
      <c r="P35" s="4"/>
    </row>
    <row r="36" spans="1:16" ht="60" x14ac:dyDescent="0.25">
      <c r="A36" s="3">
        <v>26</v>
      </c>
      <c r="B36" s="4" t="s">
        <v>18</v>
      </c>
      <c r="C36" s="4" t="s">
        <v>122</v>
      </c>
      <c r="D36" s="4" t="s">
        <v>123</v>
      </c>
      <c r="E36" s="4" t="s">
        <v>21</v>
      </c>
      <c r="F36" s="4" t="s">
        <v>22</v>
      </c>
      <c r="G36" s="4" t="s">
        <v>23</v>
      </c>
      <c r="H36" s="4" t="s">
        <v>24</v>
      </c>
      <c r="I36" s="4" t="s">
        <v>124</v>
      </c>
      <c r="J36" s="4" t="s">
        <v>125</v>
      </c>
      <c r="K36" s="4"/>
      <c r="L36" s="43" t="s">
        <v>808</v>
      </c>
      <c r="M36" s="4"/>
      <c r="N36" s="4"/>
      <c r="O36" s="4"/>
      <c r="P36" s="4"/>
    </row>
    <row r="37" spans="1:16" x14ac:dyDescent="0.25">
      <c r="A37" s="46" t="s">
        <v>126</v>
      </c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</row>
    <row r="38" spans="1:16" ht="36" x14ac:dyDescent="0.25">
      <c r="A38" s="3">
        <v>27</v>
      </c>
      <c r="B38" s="4" t="s">
        <v>18</v>
      </c>
      <c r="C38" s="4" t="s">
        <v>127</v>
      </c>
      <c r="D38" s="4" t="s">
        <v>128</v>
      </c>
      <c r="E38" s="4" t="s">
        <v>97</v>
      </c>
      <c r="F38" s="4" t="s">
        <v>22</v>
      </c>
      <c r="G38" s="4" t="s">
        <v>23</v>
      </c>
      <c r="H38" s="4" t="s">
        <v>24</v>
      </c>
      <c r="I38" s="4" t="s">
        <v>129</v>
      </c>
      <c r="J38" s="4" t="s">
        <v>130</v>
      </c>
      <c r="K38" s="4"/>
      <c r="L38" s="43" t="s">
        <v>808</v>
      </c>
      <c r="M38" s="4"/>
      <c r="N38" s="4"/>
      <c r="O38" s="4"/>
      <c r="P38" s="4"/>
    </row>
    <row r="39" spans="1:16" ht="36" x14ac:dyDescent="0.25">
      <c r="A39" s="3">
        <v>28</v>
      </c>
      <c r="B39" s="4" t="s">
        <v>18</v>
      </c>
      <c r="C39" s="4" t="s">
        <v>131</v>
      </c>
      <c r="D39" s="4" t="s">
        <v>132</v>
      </c>
      <c r="E39" s="4" t="s">
        <v>97</v>
      </c>
      <c r="F39" s="4" t="s">
        <v>22</v>
      </c>
      <c r="G39" s="4" t="s">
        <v>23</v>
      </c>
      <c r="H39" s="4" t="s">
        <v>24</v>
      </c>
      <c r="I39" s="4" t="s">
        <v>133</v>
      </c>
      <c r="J39" s="4" t="s">
        <v>130</v>
      </c>
      <c r="K39" s="4"/>
      <c r="L39" s="43" t="s">
        <v>808</v>
      </c>
      <c r="M39" s="4"/>
      <c r="N39" s="4"/>
      <c r="O39" s="4"/>
      <c r="P39" s="4"/>
    </row>
    <row r="40" spans="1:16" x14ac:dyDescent="0.25">
      <c r="A40" s="46" t="s">
        <v>134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</row>
    <row r="41" spans="1:16" ht="36" x14ac:dyDescent="0.25">
      <c r="A41" s="3">
        <v>29</v>
      </c>
      <c r="B41" s="4" t="s">
        <v>18</v>
      </c>
      <c r="C41" s="4" t="s">
        <v>135</v>
      </c>
      <c r="D41" s="4" t="s">
        <v>136</v>
      </c>
      <c r="E41" s="4" t="s">
        <v>21</v>
      </c>
      <c r="F41" s="4" t="s">
        <v>22</v>
      </c>
      <c r="G41" s="4" t="s">
        <v>23</v>
      </c>
      <c r="H41" s="4" t="s">
        <v>24</v>
      </c>
      <c r="I41" s="4" t="s">
        <v>137</v>
      </c>
      <c r="J41" s="4" t="s">
        <v>130</v>
      </c>
      <c r="K41" s="4"/>
      <c r="L41" s="43" t="s">
        <v>808</v>
      </c>
      <c r="M41" s="4"/>
      <c r="N41" s="4"/>
      <c r="O41" s="4"/>
      <c r="P41" s="4"/>
    </row>
    <row r="42" spans="1:16" ht="36" x14ac:dyDescent="0.25">
      <c r="A42" s="3">
        <v>30</v>
      </c>
      <c r="B42" s="4" t="s">
        <v>18</v>
      </c>
      <c r="C42" s="4" t="s">
        <v>138</v>
      </c>
      <c r="D42" s="4" t="s">
        <v>139</v>
      </c>
      <c r="E42" s="4" t="s">
        <v>21</v>
      </c>
      <c r="F42" s="4" t="s">
        <v>22</v>
      </c>
      <c r="G42" s="4" t="s">
        <v>23</v>
      </c>
      <c r="H42" s="4" t="s">
        <v>24</v>
      </c>
      <c r="I42" s="4" t="s">
        <v>140</v>
      </c>
      <c r="J42" s="4" t="s">
        <v>141</v>
      </c>
      <c r="K42" s="4"/>
      <c r="L42" s="43" t="s">
        <v>808</v>
      </c>
      <c r="M42" s="4"/>
      <c r="N42" s="4"/>
      <c r="O42" s="4"/>
      <c r="P42" s="4"/>
    </row>
    <row r="43" spans="1:16" ht="36" x14ac:dyDescent="0.25">
      <c r="A43" s="3">
        <v>31</v>
      </c>
      <c r="B43" s="4" t="s">
        <v>18</v>
      </c>
      <c r="C43" s="4" t="s">
        <v>142</v>
      </c>
      <c r="D43" s="4" t="s">
        <v>143</v>
      </c>
      <c r="E43" s="4" t="s">
        <v>21</v>
      </c>
      <c r="F43" s="4" t="s">
        <v>22</v>
      </c>
      <c r="G43" s="4" t="s">
        <v>23</v>
      </c>
      <c r="H43" s="4" t="s">
        <v>24</v>
      </c>
      <c r="I43" s="4" t="s">
        <v>29</v>
      </c>
      <c r="J43" s="4" t="s">
        <v>30</v>
      </c>
      <c r="K43" s="4"/>
      <c r="L43" s="43" t="s">
        <v>808</v>
      </c>
      <c r="M43" s="4"/>
      <c r="N43" s="4"/>
      <c r="O43" s="4"/>
      <c r="P43" s="4"/>
    </row>
    <row r="44" spans="1:16" x14ac:dyDescent="0.25">
      <c r="A44" s="46" t="s">
        <v>144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</row>
    <row r="45" spans="1:16" x14ac:dyDescent="0.25">
      <c r="A45" s="46" t="s">
        <v>145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</row>
    <row r="46" spans="1:16" ht="36" x14ac:dyDescent="0.25">
      <c r="A46" s="3">
        <v>32</v>
      </c>
      <c r="B46" s="4" t="s">
        <v>18</v>
      </c>
      <c r="C46" s="4" t="s">
        <v>146</v>
      </c>
      <c r="D46" s="4" t="s">
        <v>20</v>
      </c>
      <c r="E46" s="4" t="s">
        <v>21</v>
      </c>
      <c r="F46" s="4" t="s">
        <v>22</v>
      </c>
      <c r="G46" s="4" t="s">
        <v>23</v>
      </c>
      <c r="H46" s="4" t="s">
        <v>24</v>
      </c>
      <c r="I46" s="4" t="s">
        <v>147</v>
      </c>
      <c r="J46" s="4" t="s">
        <v>63</v>
      </c>
      <c r="K46" s="4"/>
      <c r="L46" s="43" t="s">
        <v>808</v>
      </c>
      <c r="M46" s="4"/>
      <c r="N46" s="4"/>
      <c r="O46" s="4"/>
      <c r="P46" s="4"/>
    </row>
    <row r="47" spans="1:16" ht="36" x14ac:dyDescent="0.25">
      <c r="A47" s="3">
        <v>33</v>
      </c>
      <c r="B47" s="4" t="s">
        <v>18</v>
      </c>
      <c r="C47" s="4" t="s">
        <v>148</v>
      </c>
      <c r="D47" s="4" t="s">
        <v>28</v>
      </c>
      <c r="E47" s="4" t="s">
        <v>21</v>
      </c>
      <c r="F47" s="4" t="s">
        <v>22</v>
      </c>
      <c r="G47" s="4" t="s">
        <v>23</v>
      </c>
      <c r="H47" s="4" t="s">
        <v>24</v>
      </c>
      <c r="I47" s="4" t="s">
        <v>149</v>
      </c>
      <c r="J47" s="4" t="s">
        <v>150</v>
      </c>
      <c r="K47" s="4"/>
      <c r="L47" s="43" t="s">
        <v>808</v>
      </c>
      <c r="M47" s="4"/>
      <c r="N47" s="4"/>
      <c r="O47" s="4"/>
      <c r="P47" s="4"/>
    </row>
    <row r="48" spans="1:16" ht="36" x14ac:dyDescent="0.25">
      <c r="A48" s="3">
        <v>34</v>
      </c>
      <c r="B48" s="4" t="s">
        <v>18</v>
      </c>
      <c r="C48" s="4" t="s">
        <v>151</v>
      </c>
      <c r="D48" s="4" t="s">
        <v>32</v>
      </c>
      <c r="E48" s="4" t="s">
        <v>21</v>
      </c>
      <c r="F48" s="4" t="s">
        <v>22</v>
      </c>
      <c r="G48" s="4" t="s">
        <v>23</v>
      </c>
      <c r="H48" s="4" t="s">
        <v>24</v>
      </c>
      <c r="I48" s="4" t="s">
        <v>152</v>
      </c>
      <c r="J48" s="4" t="s">
        <v>63</v>
      </c>
      <c r="K48" s="4"/>
      <c r="L48" s="43" t="s">
        <v>808</v>
      </c>
      <c r="M48" s="4"/>
      <c r="N48" s="4"/>
      <c r="O48" s="4"/>
      <c r="P48" s="4"/>
    </row>
    <row r="49" spans="1:16" ht="48" x14ac:dyDescent="0.25">
      <c r="A49" s="3">
        <v>35</v>
      </c>
      <c r="B49" s="4" t="s">
        <v>18</v>
      </c>
      <c r="C49" s="4" t="s">
        <v>153</v>
      </c>
      <c r="D49" s="4" t="s">
        <v>36</v>
      </c>
      <c r="E49" s="4" t="s">
        <v>21</v>
      </c>
      <c r="F49" s="4" t="s">
        <v>22</v>
      </c>
      <c r="G49" s="4" t="s">
        <v>23</v>
      </c>
      <c r="H49" s="4" t="s">
        <v>24</v>
      </c>
      <c r="I49" s="4" t="s">
        <v>154</v>
      </c>
      <c r="J49" s="4" t="s">
        <v>72</v>
      </c>
      <c r="K49" s="4"/>
      <c r="L49" s="43" t="s">
        <v>808</v>
      </c>
      <c r="M49" s="4"/>
      <c r="N49" s="4"/>
      <c r="O49" s="4"/>
      <c r="P49" s="4"/>
    </row>
    <row r="50" spans="1:16" ht="48" x14ac:dyDescent="0.25">
      <c r="A50" s="3">
        <v>36</v>
      </c>
      <c r="B50" s="4" t="s">
        <v>18</v>
      </c>
      <c r="C50" s="4" t="s">
        <v>155</v>
      </c>
      <c r="D50" s="4" t="s">
        <v>40</v>
      </c>
      <c r="E50" s="4" t="s">
        <v>21</v>
      </c>
      <c r="F50" s="4" t="s">
        <v>22</v>
      </c>
      <c r="G50" s="4" t="s">
        <v>23</v>
      </c>
      <c r="H50" s="4" t="s">
        <v>24</v>
      </c>
      <c r="I50" s="4" t="s">
        <v>156</v>
      </c>
      <c r="J50" s="4" t="s">
        <v>157</v>
      </c>
      <c r="K50" s="4"/>
      <c r="L50" s="43" t="s">
        <v>808</v>
      </c>
      <c r="M50" s="4"/>
      <c r="N50" s="4"/>
      <c r="O50" s="4"/>
      <c r="P50" s="4"/>
    </row>
    <row r="51" spans="1:16" ht="48" x14ac:dyDescent="0.25">
      <c r="A51" s="3">
        <v>37</v>
      </c>
      <c r="B51" s="4" t="s">
        <v>18</v>
      </c>
      <c r="C51" s="4" t="s">
        <v>158</v>
      </c>
      <c r="D51" s="4" t="s">
        <v>44</v>
      </c>
      <c r="E51" s="4" t="s">
        <v>21</v>
      </c>
      <c r="F51" s="4" t="s">
        <v>22</v>
      </c>
      <c r="G51" s="4" t="s">
        <v>23</v>
      </c>
      <c r="H51" s="4" t="s">
        <v>24</v>
      </c>
      <c r="I51" s="4" t="s">
        <v>159</v>
      </c>
      <c r="J51" s="4" t="s">
        <v>72</v>
      </c>
      <c r="K51" s="4"/>
      <c r="L51" s="43" t="s">
        <v>808</v>
      </c>
      <c r="M51" s="4"/>
      <c r="N51" s="4"/>
      <c r="O51" s="4"/>
      <c r="P51" s="4"/>
    </row>
    <row r="52" spans="1:16" ht="60" x14ac:dyDescent="0.25">
      <c r="A52" s="3">
        <v>38</v>
      </c>
      <c r="B52" s="4" t="s">
        <v>18</v>
      </c>
      <c r="C52" s="4" t="s">
        <v>160</v>
      </c>
      <c r="D52" s="4" t="s">
        <v>48</v>
      </c>
      <c r="E52" s="4" t="s">
        <v>21</v>
      </c>
      <c r="F52" s="4" t="s">
        <v>22</v>
      </c>
      <c r="G52" s="4" t="s">
        <v>23</v>
      </c>
      <c r="H52" s="4" t="s">
        <v>24</v>
      </c>
      <c r="I52" s="4" t="s">
        <v>161</v>
      </c>
      <c r="J52" s="4" t="s">
        <v>82</v>
      </c>
      <c r="K52" s="4"/>
      <c r="L52" s="43" t="s">
        <v>808</v>
      </c>
      <c r="M52" s="4"/>
      <c r="N52" s="4"/>
      <c r="O52" s="4"/>
      <c r="P52" s="4"/>
    </row>
    <row r="53" spans="1:16" ht="60" x14ac:dyDescent="0.25">
      <c r="A53" s="3">
        <v>39</v>
      </c>
      <c r="B53" s="4" t="s">
        <v>18</v>
      </c>
      <c r="C53" s="4" t="s">
        <v>162</v>
      </c>
      <c r="D53" s="4" t="s">
        <v>52</v>
      </c>
      <c r="E53" s="4" t="s">
        <v>21</v>
      </c>
      <c r="F53" s="4" t="s">
        <v>22</v>
      </c>
      <c r="G53" s="4" t="s">
        <v>23</v>
      </c>
      <c r="H53" s="4" t="s">
        <v>24</v>
      </c>
      <c r="I53" s="4" t="s">
        <v>163</v>
      </c>
      <c r="J53" s="4" t="s">
        <v>164</v>
      </c>
      <c r="K53" s="4"/>
      <c r="L53" s="43" t="s">
        <v>808</v>
      </c>
      <c r="M53" s="4"/>
      <c r="N53" s="4"/>
      <c r="O53" s="4"/>
      <c r="P53" s="4"/>
    </row>
    <row r="54" spans="1:16" ht="60" x14ac:dyDescent="0.25">
      <c r="A54" s="3">
        <v>40</v>
      </c>
      <c r="B54" s="4" t="s">
        <v>18</v>
      </c>
      <c r="C54" s="4" t="s">
        <v>165</v>
      </c>
      <c r="D54" s="4" t="s">
        <v>56</v>
      </c>
      <c r="E54" s="4" t="s">
        <v>21</v>
      </c>
      <c r="F54" s="4" t="s">
        <v>22</v>
      </c>
      <c r="G54" s="4" t="s">
        <v>23</v>
      </c>
      <c r="H54" s="4" t="s">
        <v>24</v>
      </c>
      <c r="I54" s="4" t="s">
        <v>166</v>
      </c>
      <c r="J54" s="4" t="s">
        <v>82</v>
      </c>
      <c r="K54" s="4"/>
      <c r="L54" s="43" t="s">
        <v>808</v>
      </c>
      <c r="M54" s="4"/>
      <c r="N54" s="4"/>
      <c r="O54" s="4"/>
      <c r="P54" s="4"/>
    </row>
    <row r="55" spans="1:16" ht="36" x14ac:dyDescent="0.25">
      <c r="A55" s="3">
        <v>41</v>
      </c>
      <c r="B55" s="4" t="s">
        <v>18</v>
      </c>
      <c r="C55" s="4" t="s">
        <v>146</v>
      </c>
      <c r="D55" s="4" t="s">
        <v>20</v>
      </c>
      <c r="E55" s="4" t="s">
        <v>21</v>
      </c>
      <c r="F55" s="4" t="s">
        <v>22</v>
      </c>
      <c r="G55" s="4" t="s">
        <v>23</v>
      </c>
      <c r="H55" s="4" t="s">
        <v>24</v>
      </c>
      <c r="I55" s="4" t="s">
        <v>147</v>
      </c>
      <c r="J55" s="4" t="s">
        <v>63</v>
      </c>
      <c r="K55" s="4"/>
      <c r="L55" s="43" t="s">
        <v>808</v>
      </c>
      <c r="M55" s="4"/>
      <c r="N55" s="4"/>
      <c r="O55" s="4"/>
      <c r="P55" s="4"/>
    </row>
    <row r="56" spans="1:16" ht="36" x14ac:dyDescent="0.25">
      <c r="A56" s="3">
        <v>42</v>
      </c>
      <c r="B56" s="4" t="s">
        <v>18</v>
      </c>
      <c r="C56" s="4" t="s">
        <v>148</v>
      </c>
      <c r="D56" s="4" t="s">
        <v>28</v>
      </c>
      <c r="E56" s="4" t="s">
        <v>21</v>
      </c>
      <c r="F56" s="4" t="s">
        <v>22</v>
      </c>
      <c r="G56" s="4" t="s">
        <v>23</v>
      </c>
      <c r="H56" s="4" t="s">
        <v>24</v>
      </c>
      <c r="I56" s="4" t="s">
        <v>149</v>
      </c>
      <c r="J56" s="4" t="s">
        <v>63</v>
      </c>
      <c r="K56" s="4"/>
      <c r="L56" s="43" t="s">
        <v>808</v>
      </c>
      <c r="M56" s="4"/>
      <c r="N56" s="4"/>
      <c r="O56" s="4"/>
      <c r="P56" s="4"/>
    </row>
    <row r="57" spans="1:16" ht="36" x14ac:dyDescent="0.25">
      <c r="A57" s="3">
        <v>43</v>
      </c>
      <c r="B57" s="4" t="s">
        <v>18</v>
      </c>
      <c r="C57" s="4" t="s">
        <v>151</v>
      </c>
      <c r="D57" s="4" t="s">
        <v>32</v>
      </c>
      <c r="E57" s="4" t="s">
        <v>21</v>
      </c>
      <c r="F57" s="4" t="s">
        <v>22</v>
      </c>
      <c r="G57" s="4" t="s">
        <v>23</v>
      </c>
      <c r="H57" s="4" t="s">
        <v>24</v>
      </c>
      <c r="I57" s="4" t="s">
        <v>152</v>
      </c>
      <c r="J57" s="4" t="s">
        <v>63</v>
      </c>
      <c r="K57" s="4"/>
      <c r="L57" s="43" t="s">
        <v>808</v>
      </c>
      <c r="M57" s="4"/>
      <c r="N57" s="4"/>
      <c r="O57" s="4"/>
      <c r="P57" s="4"/>
    </row>
    <row r="58" spans="1:16" ht="48" x14ac:dyDescent="0.25">
      <c r="A58" s="3">
        <v>44</v>
      </c>
      <c r="B58" s="4" t="s">
        <v>18</v>
      </c>
      <c r="C58" s="4" t="s">
        <v>153</v>
      </c>
      <c r="D58" s="4" t="s">
        <v>36</v>
      </c>
      <c r="E58" s="4" t="s">
        <v>21</v>
      </c>
      <c r="F58" s="4" t="s">
        <v>22</v>
      </c>
      <c r="G58" s="4" t="s">
        <v>23</v>
      </c>
      <c r="H58" s="4" t="s">
        <v>24</v>
      </c>
      <c r="I58" s="4" t="s">
        <v>154</v>
      </c>
      <c r="J58" s="4" t="s">
        <v>72</v>
      </c>
      <c r="K58" s="4"/>
      <c r="L58" s="43" t="s">
        <v>808</v>
      </c>
      <c r="M58" s="4"/>
      <c r="N58" s="4"/>
      <c r="O58" s="4"/>
      <c r="P58" s="4"/>
    </row>
    <row r="59" spans="1:16" ht="48" x14ac:dyDescent="0.25">
      <c r="A59" s="3">
        <v>45</v>
      </c>
      <c r="B59" s="4" t="s">
        <v>18</v>
      </c>
      <c r="C59" s="4" t="s">
        <v>155</v>
      </c>
      <c r="D59" s="4" t="s">
        <v>40</v>
      </c>
      <c r="E59" s="4" t="s">
        <v>21</v>
      </c>
      <c r="F59" s="4" t="s">
        <v>22</v>
      </c>
      <c r="G59" s="4" t="s">
        <v>23</v>
      </c>
      <c r="H59" s="4" t="s">
        <v>24</v>
      </c>
      <c r="I59" s="4" t="s">
        <v>156</v>
      </c>
      <c r="J59" s="4" t="s">
        <v>72</v>
      </c>
      <c r="K59" s="4"/>
      <c r="L59" s="43" t="s">
        <v>808</v>
      </c>
      <c r="M59" s="4"/>
      <c r="N59" s="4"/>
      <c r="O59" s="4"/>
      <c r="P59" s="4"/>
    </row>
    <row r="60" spans="1:16" ht="48" x14ac:dyDescent="0.25">
      <c r="A60" s="3">
        <v>46</v>
      </c>
      <c r="B60" s="4" t="s">
        <v>18</v>
      </c>
      <c r="C60" s="4" t="s">
        <v>158</v>
      </c>
      <c r="D60" s="4" t="s">
        <v>44</v>
      </c>
      <c r="E60" s="4" t="s">
        <v>21</v>
      </c>
      <c r="F60" s="4" t="s">
        <v>22</v>
      </c>
      <c r="G60" s="4" t="s">
        <v>23</v>
      </c>
      <c r="H60" s="4" t="s">
        <v>24</v>
      </c>
      <c r="I60" s="4" t="s">
        <v>159</v>
      </c>
      <c r="J60" s="4" t="s">
        <v>72</v>
      </c>
      <c r="K60" s="4"/>
      <c r="L60" s="43" t="s">
        <v>808</v>
      </c>
      <c r="M60" s="4"/>
      <c r="N60" s="4"/>
      <c r="O60" s="4"/>
      <c r="P60" s="4"/>
    </row>
    <row r="61" spans="1:16" ht="60" x14ac:dyDescent="0.25">
      <c r="A61" s="3">
        <v>47</v>
      </c>
      <c r="B61" s="4" t="s">
        <v>18</v>
      </c>
      <c r="C61" s="4" t="s">
        <v>160</v>
      </c>
      <c r="D61" s="4" t="s">
        <v>48</v>
      </c>
      <c r="E61" s="4" t="s">
        <v>21</v>
      </c>
      <c r="F61" s="4" t="s">
        <v>22</v>
      </c>
      <c r="G61" s="4" t="s">
        <v>23</v>
      </c>
      <c r="H61" s="4" t="s">
        <v>24</v>
      </c>
      <c r="I61" s="4" t="s">
        <v>161</v>
      </c>
      <c r="J61" s="4" t="s">
        <v>82</v>
      </c>
      <c r="K61" s="4"/>
      <c r="L61" s="43" t="s">
        <v>808</v>
      </c>
      <c r="M61" s="4"/>
      <c r="N61" s="4"/>
      <c r="O61" s="4"/>
      <c r="P61" s="4"/>
    </row>
    <row r="62" spans="1:16" ht="60" x14ac:dyDescent="0.25">
      <c r="A62" s="3">
        <v>48</v>
      </c>
      <c r="B62" s="4" t="s">
        <v>18</v>
      </c>
      <c r="C62" s="4" t="s">
        <v>162</v>
      </c>
      <c r="D62" s="4" t="s">
        <v>52</v>
      </c>
      <c r="E62" s="4" t="s">
        <v>21</v>
      </c>
      <c r="F62" s="4" t="s">
        <v>22</v>
      </c>
      <c r="G62" s="4" t="s">
        <v>23</v>
      </c>
      <c r="H62" s="4" t="s">
        <v>24</v>
      </c>
      <c r="I62" s="4" t="s">
        <v>163</v>
      </c>
      <c r="J62" s="4" t="s">
        <v>82</v>
      </c>
      <c r="K62" s="4"/>
      <c r="L62" s="43" t="s">
        <v>808</v>
      </c>
      <c r="M62" s="4"/>
      <c r="N62" s="4"/>
      <c r="O62" s="4"/>
      <c r="P62" s="4"/>
    </row>
    <row r="63" spans="1:16" ht="60" x14ac:dyDescent="0.25">
      <c r="A63" s="3">
        <v>49</v>
      </c>
      <c r="B63" s="4" t="s">
        <v>18</v>
      </c>
      <c r="C63" s="4" t="s">
        <v>165</v>
      </c>
      <c r="D63" s="4" t="s">
        <v>56</v>
      </c>
      <c r="E63" s="4" t="s">
        <v>21</v>
      </c>
      <c r="F63" s="4" t="s">
        <v>22</v>
      </c>
      <c r="G63" s="4" t="s">
        <v>23</v>
      </c>
      <c r="H63" s="4" t="s">
        <v>24</v>
      </c>
      <c r="I63" s="4" t="s">
        <v>166</v>
      </c>
      <c r="J63" s="4" t="s">
        <v>82</v>
      </c>
      <c r="K63" s="4"/>
      <c r="L63" s="43" t="s">
        <v>808</v>
      </c>
      <c r="M63" s="4"/>
      <c r="N63" s="4"/>
      <c r="O63" s="4"/>
      <c r="P63" s="4"/>
    </row>
    <row r="64" spans="1:16" x14ac:dyDescent="0.25">
      <c r="A64" s="46" t="s">
        <v>167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</row>
    <row r="65" spans="1:16" ht="36" x14ac:dyDescent="0.25">
      <c r="A65" s="3">
        <v>50</v>
      </c>
      <c r="B65" s="4" t="s">
        <v>18</v>
      </c>
      <c r="C65" s="4" t="s">
        <v>168</v>
      </c>
      <c r="D65" s="4" t="s">
        <v>61</v>
      </c>
      <c r="E65" s="4" t="s">
        <v>21</v>
      </c>
      <c r="F65" s="4" t="s">
        <v>22</v>
      </c>
      <c r="G65" s="4" t="s">
        <v>23</v>
      </c>
      <c r="H65" s="4" t="s">
        <v>24</v>
      </c>
      <c r="I65" s="4" t="s">
        <v>169</v>
      </c>
      <c r="J65" s="4" t="s">
        <v>63</v>
      </c>
      <c r="K65" s="4"/>
      <c r="L65" s="43" t="s">
        <v>808</v>
      </c>
      <c r="M65" s="4"/>
      <c r="N65" s="4"/>
      <c r="O65" s="4"/>
      <c r="P65" s="4"/>
    </row>
    <row r="66" spans="1:16" ht="36" x14ac:dyDescent="0.25">
      <c r="A66" s="3">
        <v>51</v>
      </c>
      <c r="B66" s="4" t="s">
        <v>18</v>
      </c>
      <c r="C66" s="4" t="s">
        <v>170</v>
      </c>
      <c r="D66" s="4" t="s">
        <v>67</v>
      </c>
      <c r="E66" s="4" t="s">
        <v>21</v>
      </c>
      <c r="F66" s="4" t="s">
        <v>22</v>
      </c>
      <c r="G66" s="4" t="s">
        <v>23</v>
      </c>
      <c r="H66" s="4" t="s">
        <v>24</v>
      </c>
      <c r="I66" s="4" t="s">
        <v>171</v>
      </c>
      <c r="J66" s="4" t="s">
        <v>63</v>
      </c>
      <c r="K66" s="4"/>
      <c r="L66" s="43" t="s">
        <v>808</v>
      </c>
      <c r="M66" s="4"/>
      <c r="N66" s="4"/>
      <c r="O66" s="4"/>
      <c r="P66" s="4"/>
    </row>
    <row r="67" spans="1:16" ht="48" x14ac:dyDescent="0.25">
      <c r="A67" s="3">
        <v>52</v>
      </c>
      <c r="B67" s="4" t="s">
        <v>18</v>
      </c>
      <c r="C67" s="4" t="s">
        <v>172</v>
      </c>
      <c r="D67" s="4" t="s">
        <v>70</v>
      </c>
      <c r="E67" s="4" t="s">
        <v>21</v>
      </c>
      <c r="F67" s="4" t="s">
        <v>22</v>
      </c>
      <c r="G67" s="4" t="s">
        <v>23</v>
      </c>
      <c r="H67" s="4" t="s">
        <v>24</v>
      </c>
      <c r="I67" s="4" t="s">
        <v>173</v>
      </c>
      <c r="J67" s="4" t="s">
        <v>72</v>
      </c>
      <c r="K67" s="4"/>
      <c r="L67" s="43" t="s">
        <v>808</v>
      </c>
      <c r="M67" s="4"/>
      <c r="N67" s="4"/>
      <c r="O67" s="4"/>
      <c r="P67" s="4"/>
    </row>
    <row r="68" spans="1:16" ht="48" x14ac:dyDescent="0.25">
      <c r="A68" s="3">
        <v>53</v>
      </c>
      <c r="B68" s="4" t="s">
        <v>18</v>
      </c>
      <c r="C68" s="4" t="s">
        <v>174</v>
      </c>
      <c r="D68" s="4" t="s">
        <v>77</v>
      </c>
      <c r="E68" s="4" t="s">
        <v>21</v>
      </c>
      <c r="F68" s="4" t="s">
        <v>22</v>
      </c>
      <c r="G68" s="4" t="s">
        <v>23</v>
      </c>
      <c r="H68" s="4" t="s">
        <v>24</v>
      </c>
      <c r="I68" s="4" t="s">
        <v>175</v>
      </c>
      <c r="J68" s="4" t="s">
        <v>72</v>
      </c>
      <c r="K68" s="4"/>
      <c r="L68" s="43" t="s">
        <v>808</v>
      </c>
      <c r="M68" s="4"/>
      <c r="N68" s="4"/>
      <c r="O68" s="4"/>
      <c r="P68" s="4"/>
    </row>
    <row r="69" spans="1:16" ht="60" x14ac:dyDescent="0.25">
      <c r="A69" s="3">
        <v>54</v>
      </c>
      <c r="B69" s="4" t="s">
        <v>18</v>
      </c>
      <c r="C69" s="4" t="s">
        <v>176</v>
      </c>
      <c r="D69" s="4" t="s">
        <v>80</v>
      </c>
      <c r="E69" s="4" t="s">
        <v>21</v>
      </c>
      <c r="F69" s="4" t="s">
        <v>22</v>
      </c>
      <c r="G69" s="4" t="s">
        <v>23</v>
      </c>
      <c r="H69" s="4" t="s">
        <v>24</v>
      </c>
      <c r="I69" s="4" t="s">
        <v>177</v>
      </c>
      <c r="J69" s="4" t="s">
        <v>82</v>
      </c>
      <c r="K69" s="4"/>
      <c r="L69" s="43" t="s">
        <v>808</v>
      </c>
      <c r="M69" s="4"/>
      <c r="N69" s="4"/>
      <c r="O69" s="4"/>
      <c r="P69" s="4"/>
    </row>
    <row r="70" spans="1:16" ht="60" x14ac:dyDescent="0.25">
      <c r="A70" s="3">
        <v>55</v>
      </c>
      <c r="B70" s="4" t="s">
        <v>18</v>
      </c>
      <c r="C70" s="4" t="s">
        <v>178</v>
      </c>
      <c r="D70" s="4" t="s">
        <v>87</v>
      </c>
      <c r="E70" s="4" t="s">
        <v>21</v>
      </c>
      <c r="F70" s="4" t="s">
        <v>22</v>
      </c>
      <c r="G70" s="4" t="s">
        <v>23</v>
      </c>
      <c r="H70" s="4" t="s">
        <v>24</v>
      </c>
      <c r="I70" s="4" t="s">
        <v>179</v>
      </c>
      <c r="J70" s="4" t="s">
        <v>82</v>
      </c>
      <c r="K70" s="4"/>
      <c r="L70" s="43" t="s">
        <v>808</v>
      </c>
      <c r="M70" s="4"/>
      <c r="N70" s="4"/>
      <c r="O70" s="4"/>
      <c r="P70" s="4"/>
    </row>
    <row r="71" spans="1:16" x14ac:dyDescent="0.25">
      <c r="A71" s="46" t="s">
        <v>180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</row>
    <row r="72" spans="1:16" ht="84" x14ac:dyDescent="0.25">
      <c r="A72" s="3">
        <v>56</v>
      </c>
      <c r="B72" s="4" t="s">
        <v>18</v>
      </c>
      <c r="C72" s="4" t="s">
        <v>181</v>
      </c>
      <c r="D72" s="4" t="s">
        <v>96</v>
      </c>
      <c r="E72" s="4" t="s">
        <v>97</v>
      </c>
      <c r="F72" s="4" t="s">
        <v>22</v>
      </c>
      <c r="G72" s="4" t="s">
        <v>23</v>
      </c>
      <c r="H72" s="4" t="s">
        <v>24</v>
      </c>
      <c r="I72" s="4" t="s">
        <v>182</v>
      </c>
      <c r="J72" s="4" t="s">
        <v>183</v>
      </c>
      <c r="K72" s="4"/>
      <c r="L72" s="43" t="s">
        <v>808</v>
      </c>
      <c r="M72" s="4"/>
      <c r="N72" s="4"/>
      <c r="O72" s="4"/>
      <c r="P72" s="4"/>
    </row>
    <row r="73" spans="1:16" ht="60" x14ac:dyDescent="0.25">
      <c r="A73" s="3">
        <v>57</v>
      </c>
      <c r="B73" s="4" t="s">
        <v>18</v>
      </c>
      <c r="C73" s="4" t="s">
        <v>184</v>
      </c>
      <c r="D73" s="4" t="s">
        <v>101</v>
      </c>
      <c r="E73" s="4" t="s">
        <v>97</v>
      </c>
      <c r="F73" s="4" t="s">
        <v>22</v>
      </c>
      <c r="G73" s="4" t="s">
        <v>23</v>
      </c>
      <c r="H73" s="4" t="s">
        <v>24</v>
      </c>
      <c r="I73" s="4" t="s">
        <v>185</v>
      </c>
      <c r="J73" s="4" t="s">
        <v>186</v>
      </c>
      <c r="K73" s="4"/>
      <c r="L73" s="43" t="s">
        <v>808</v>
      </c>
      <c r="M73" s="4"/>
      <c r="N73" s="4"/>
      <c r="O73" s="4"/>
      <c r="P73" s="4"/>
    </row>
    <row r="74" spans="1:16" x14ac:dyDescent="0.25">
      <c r="A74" s="46" t="s">
        <v>187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</row>
    <row r="75" spans="1:16" ht="48" x14ac:dyDescent="0.25">
      <c r="A75" s="3">
        <v>58</v>
      </c>
      <c r="B75" s="4" t="s">
        <v>18</v>
      </c>
      <c r="C75" s="4" t="s">
        <v>188</v>
      </c>
      <c r="D75" s="4" t="s">
        <v>106</v>
      </c>
      <c r="E75" s="4" t="s">
        <v>107</v>
      </c>
      <c r="F75" s="4" t="s">
        <v>22</v>
      </c>
      <c r="G75" s="4" t="s">
        <v>23</v>
      </c>
      <c r="H75" s="4" t="s">
        <v>24</v>
      </c>
      <c r="I75" s="4" t="s">
        <v>189</v>
      </c>
      <c r="J75" s="4" t="s">
        <v>109</v>
      </c>
      <c r="K75" s="4"/>
      <c r="L75" s="43" t="s">
        <v>808</v>
      </c>
      <c r="M75" s="4"/>
      <c r="N75" s="4"/>
      <c r="O75" s="4"/>
      <c r="P75" s="4"/>
    </row>
    <row r="76" spans="1:16" ht="72" x14ac:dyDescent="0.25">
      <c r="A76" s="3">
        <v>59</v>
      </c>
      <c r="B76" s="4" t="s">
        <v>18</v>
      </c>
      <c r="C76" s="4" t="s">
        <v>190</v>
      </c>
      <c r="D76" s="4" t="s">
        <v>111</v>
      </c>
      <c r="E76" s="4" t="s">
        <v>107</v>
      </c>
      <c r="F76" s="4" t="s">
        <v>22</v>
      </c>
      <c r="G76" s="4" t="s">
        <v>23</v>
      </c>
      <c r="H76" s="4" t="s">
        <v>24</v>
      </c>
      <c r="I76" s="4" t="s">
        <v>191</v>
      </c>
      <c r="J76" s="4" t="s">
        <v>113</v>
      </c>
      <c r="K76" s="4"/>
      <c r="L76" s="43" t="s">
        <v>808</v>
      </c>
      <c r="M76" s="4"/>
      <c r="N76" s="4"/>
      <c r="O76" s="4"/>
      <c r="P76" s="4"/>
    </row>
    <row r="77" spans="1:16" ht="84" x14ac:dyDescent="0.25">
      <c r="A77" s="3">
        <v>60</v>
      </c>
      <c r="B77" s="4" t="s">
        <v>18</v>
      </c>
      <c r="C77" s="4" t="s">
        <v>192</v>
      </c>
      <c r="D77" s="4" t="s">
        <v>115</v>
      </c>
      <c r="E77" s="4" t="s">
        <v>107</v>
      </c>
      <c r="F77" s="4" t="s">
        <v>22</v>
      </c>
      <c r="G77" s="4" t="s">
        <v>23</v>
      </c>
      <c r="H77" s="4" t="s">
        <v>24</v>
      </c>
      <c r="I77" s="4" t="s">
        <v>193</v>
      </c>
      <c r="J77" s="4" t="s">
        <v>42</v>
      </c>
      <c r="K77" s="4"/>
      <c r="L77" s="43" t="s">
        <v>808</v>
      </c>
      <c r="M77" s="4"/>
      <c r="N77" s="4"/>
      <c r="O77" s="4"/>
      <c r="P77" s="4"/>
    </row>
    <row r="78" spans="1:16" x14ac:dyDescent="0.25">
      <c r="A78" s="46" t="s">
        <v>194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</row>
    <row r="79" spans="1:16" ht="60" x14ac:dyDescent="0.25">
      <c r="A79" s="3">
        <v>61</v>
      </c>
      <c r="B79" s="4" t="s">
        <v>18</v>
      </c>
      <c r="C79" s="4" t="s">
        <v>195</v>
      </c>
      <c r="D79" s="4" t="s">
        <v>119</v>
      </c>
      <c r="E79" s="4" t="s">
        <v>21</v>
      </c>
      <c r="F79" s="4" t="s">
        <v>22</v>
      </c>
      <c r="G79" s="4" t="s">
        <v>23</v>
      </c>
      <c r="H79" s="4" t="s">
        <v>24</v>
      </c>
      <c r="I79" s="4" t="s">
        <v>196</v>
      </c>
      <c r="J79" s="4" t="s">
        <v>197</v>
      </c>
      <c r="K79" s="4"/>
      <c r="L79" s="43" t="s">
        <v>808</v>
      </c>
      <c r="M79" s="4"/>
      <c r="N79" s="4"/>
      <c r="O79" s="4"/>
      <c r="P79" s="4"/>
    </row>
    <row r="80" spans="1:16" ht="60" x14ac:dyDescent="0.25">
      <c r="A80" s="3">
        <v>62</v>
      </c>
      <c r="B80" s="4" t="s">
        <v>18</v>
      </c>
      <c r="C80" s="4" t="s">
        <v>198</v>
      </c>
      <c r="D80" s="4" t="s">
        <v>123</v>
      </c>
      <c r="E80" s="4" t="s">
        <v>21</v>
      </c>
      <c r="F80" s="4" t="s">
        <v>22</v>
      </c>
      <c r="G80" s="4" t="s">
        <v>23</v>
      </c>
      <c r="H80" s="4" t="s">
        <v>24</v>
      </c>
      <c r="I80" s="4" t="s">
        <v>199</v>
      </c>
      <c r="J80" s="4" t="s">
        <v>200</v>
      </c>
      <c r="K80" s="4"/>
      <c r="L80" s="43" t="s">
        <v>808</v>
      </c>
      <c r="M80" s="4"/>
      <c r="N80" s="4"/>
      <c r="O80" s="4"/>
      <c r="P80" s="4"/>
    </row>
    <row r="81" spans="1:16" x14ac:dyDescent="0.25">
      <c r="A81" s="46" t="s">
        <v>201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</row>
    <row r="82" spans="1:16" ht="36" x14ac:dyDescent="0.25">
      <c r="A82" s="3">
        <v>63</v>
      </c>
      <c r="B82" s="4" t="s">
        <v>18</v>
      </c>
      <c r="C82" s="4" t="s">
        <v>202</v>
      </c>
      <c r="D82" s="4" t="s">
        <v>128</v>
      </c>
      <c r="E82" s="4" t="s">
        <v>97</v>
      </c>
      <c r="F82" s="4" t="s">
        <v>22</v>
      </c>
      <c r="G82" s="4" t="s">
        <v>23</v>
      </c>
      <c r="H82" s="4" t="s">
        <v>24</v>
      </c>
      <c r="I82" s="4" t="s">
        <v>203</v>
      </c>
      <c r="J82" s="4" t="s">
        <v>130</v>
      </c>
      <c r="K82" s="4"/>
      <c r="L82" s="43" t="s">
        <v>808</v>
      </c>
      <c r="M82" s="4"/>
      <c r="N82" s="4"/>
      <c r="O82" s="4"/>
      <c r="P82" s="4"/>
    </row>
    <row r="83" spans="1:16" ht="36" x14ac:dyDescent="0.25">
      <c r="A83" s="3">
        <v>64</v>
      </c>
      <c r="B83" s="4" t="s">
        <v>18</v>
      </c>
      <c r="C83" s="4" t="s">
        <v>204</v>
      </c>
      <c r="D83" s="4" t="s">
        <v>132</v>
      </c>
      <c r="E83" s="4" t="s">
        <v>97</v>
      </c>
      <c r="F83" s="4" t="s">
        <v>22</v>
      </c>
      <c r="G83" s="4" t="s">
        <v>23</v>
      </c>
      <c r="H83" s="4" t="s">
        <v>24</v>
      </c>
      <c r="I83" s="4" t="s">
        <v>205</v>
      </c>
      <c r="J83" s="4" t="s">
        <v>130</v>
      </c>
      <c r="K83" s="4"/>
      <c r="L83" s="43" t="s">
        <v>808</v>
      </c>
      <c r="M83" s="4"/>
      <c r="N83" s="4"/>
      <c r="O83" s="4"/>
      <c r="P83" s="4"/>
    </row>
    <row r="84" spans="1:16" x14ac:dyDescent="0.25">
      <c r="A84" s="46" t="s">
        <v>206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</row>
    <row r="85" spans="1:16" ht="36" x14ac:dyDescent="0.25">
      <c r="A85" s="3">
        <v>65</v>
      </c>
      <c r="B85" s="4" t="s">
        <v>18</v>
      </c>
      <c r="C85" s="4" t="s">
        <v>207</v>
      </c>
      <c r="D85" s="4" t="s">
        <v>136</v>
      </c>
      <c r="E85" s="4" t="s">
        <v>21</v>
      </c>
      <c r="F85" s="4" t="s">
        <v>22</v>
      </c>
      <c r="G85" s="4" t="s">
        <v>23</v>
      </c>
      <c r="H85" s="4" t="s">
        <v>24</v>
      </c>
      <c r="I85" s="4" t="s">
        <v>208</v>
      </c>
      <c r="J85" s="4" t="s">
        <v>130</v>
      </c>
      <c r="K85" s="4"/>
      <c r="L85" s="43" t="s">
        <v>808</v>
      </c>
      <c r="M85" s="4"/>
      <c r="N85" s="4"/>
      <c r="O85" s="4"/>
      <c r="P85" s="4"/>
    </row>
    <row r="86" spans="1:16" ht="36" x14ac:dyDescent="0.25">
      <c r="A86" s="3">
        <v>66</v>
      </c>
      <c r="B86" s="4" t="s">
        <v>18</v>
      </c>
      <c r="C86" s="4" t="s">
        <v>209</v>
      </c>
      <c r="D86" s="4" t="s">
        <v>139</v>
      </c>
      <c r="E86" s="4" t="s">
        <v>21</v>
      </c>
      <c r="F86" s="4" t="s">
        <v>22</v>
      </c>
      <c r="G86" s="4" t="s">
        <v>23</v>
      </c>
      <c r="H86" s="4" t="s">
        <v>24</v>
      </c>
      <c r="I86" s="4" t="s">
        <v>210</v>
      </c>
      <c r="J86" s="4" t="s">
        <v>63</v>
      </c>
      <c r="K86" s="4"/>
      <c r="L86" s="43" t="s">
        <v>808</v>
      </c>
      <c r="M86" s="4"/>
      <c r="N86" s="4"/>
      <c r="O86" s="4"/>
      <c r="P86" s="4"/>
    </row>
    <row r="87" spans="1:16" ht="36" x14ac:dyDescent="0.25">
      <c r="A87" s="3">
        <v>67</v>
      </c>
      <c r="B87" s="4" t="s">
        <v>18</v>
      </c>
      <c r="C87" s="4" t="s">
        <v>211</v>
      </c>
      <c r="D87" s="4" t="s">
        <v>143</v>
      </c>
      <c r="E87" s="4" t="s">
        <v>21</v>
      </c>
      <c r="F87" s="4" t="s">
        <v>22</v>
      </c>
      <c r="G87" s="4" t="s">
        <v>23</v>
      </c>
      <c r="H87" s="4" t="s">
        <v>24</v>
      </c>
      <c r="I87" s="4" t="s">
        <v>149</v>
      </c>
      <c r="J87" s="4" t="s">
        <v>63</v>
      </c>
      <c r="K87" s="4"/>
      <c r="L87" s="43" t="s">
        <v>808</v>
      </c>
      <c r="M87" s="4"/>
      <c r="N87" s="4"/>
      <c r="O87" s="4"/>
      <c r="P87" s="4"/>
    </row>
    <row r="88" spans="1:16" x14ac:dyDescent="0.25">
      <c r="A88" s="46" t="s">
        <v>212</v>
      </c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</row>
    <row r="89" spans="1:16" x14ac:dyDescent="0.25">
      <c r="A89" s="46" t="s">
        <v>213</v>
      </c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</row>
    <row r="90" spans="1:16" ht="96" x14ac:dyDescent="0.25">
      <c r="A90" s="3">
        <v>68</v>
      </c>
      <c r="B90" s="4" t="s">
        <v>18</v>
      </c>
      <c r="C90" s="4" t="s">
        <v>19</v>
      </c>
      <c r="D90" s="4" t="s">
        <v>20</v>
      </c>
      <c r="E90" s="4" t="s">
        <v>21</v>
      </c>
      <c r="F90" s="4" t="s">
        <v>22</v>
      </c>
      <c r="G90" s="4" t="s">
        <v>23</v>
      </c>
      <c r="H90" s="4" t="s">
        <v>24</v>
      </c>
      <c r="I90" s="4" t="s">
        <v>214</v>
      </c>
      <c r="J90" s="4" t="s">
        <v>215</v>
      </c>
      <c r="K90" s="4"/>
      <c r="L90" s="43" t="s">
        <v>808</v>
      </c>
      <c r="M90" s="4"/>
      <c r="N90" s="4"/>
      <c r="O90" s="4"/>
      <c r="P90" s="4"/>
    </row>
    <row r="91" spans="1:16" ht="96" x14ac:dyDescent="0.25">
      <c r="A91" s="3">
        <v>69</v>
      </c>
      <c r="B91" s="4" t="s">
        <v>18</v>
      </c>
      <c r="C91" s="4" t="s">
        <v>27</v>
      </c>
      <c r="D91" s="4" t="s">
        <v>28</v>
      </c>
      <c r="E91" s="4" t="s">
        <v>21</v>
      </c>
      <c r="F91" s="4" t="s">
        <v>22</v>
      </c>
      <c r="G91" s="4" t="s">
        <v>23</v>
      </c>
      <c r="H91" s="4" t="s">
        <v>24</v>
      </c>
      <c r="I91" s="4" t="s">
        <v>216</v>
      </c>
      <c r="J91" s="4" t="s">
        <v>217</v>
      </c>
      <c r="K91" s="4"/>
      <c r="L91" s="43" t="s">
        <v>803</v>
      </c>
      <c r="M91" s="4"/>
      <c r="N91" s="4"/>
      <c r="O91" s="4"/>
      <c r="P91" s="4"/>
    </row>
    <row r="92" spans="1:16" ht="96" x14ac:dyDescent="0.25">
      <c r="A92" s="3">
        <v>70</v>
      </c>
      <c r="B92" s="4" t="s">
        <v>18</v>
      </c>
      <c r="C92" s="4" t="s">
        <v>31</v>
      </c>
      <c r="D92" s="4" t="s">
        <v>32</v>
      </c>
      <c r="E92" s="4" t="s">
        <v>21</v>
      </c>
      <c r="F92" s="4" t="s">
        <v>22</v>
      </c>
      <c r="G92" s="4" t="s">
        <v>23</v>
      </c>
      <c r="H92" s="4" t="s">
        <v>24</v>
      </c>
      <c r="I92" s="4" t="s">
        <v>218</v>
      </c>
      <c r="J92" s="4" t="s">
        <v>219</v>
      </c>
      <c r="K92" s="4"/>
      <c r="L92" s="43" t="s">
        <v>808</v>
      </c>
      <c r="M92" s="4"/>
      <c r="N92" s="4"/>
      <c r="O92" s="4"/>
      <c r="P92" s="4"/>
    </row>
    <row r="93" spans="1:16" ht="60" x14ac:dyDescent="0.25">
      <c r="A93" s="3">
        <v>71</v>
      </c>
      <c r="B93" s="4" t="s">
        <v>18</v>
      </c>
      <c r="C93" s="4" t="s">
        <v>35</v>
      </c>
      <c r="D93" s="4" t="s">
        <v>48</v>
      </c>
      <c r="E93" s="4" t="s">
        <v>21</v>
      </c>
      <c r="F93" s="4" t="s">
        <v>22</v>
      </c>
      <c r="G93" s="4" t="s">
        <v>23</v>
      </c>
      <c r="H93" s="4" t="s">
        <v>24</v>
      </c>
      <c r="I93" s="4" t="s">
        <v>49</v>
      </c>
      <c r="J93" s="4" t="s">
        <v>50</v>
      </c>
      <c r="K93" s="4"/>
      <c r="L93" s="43" t="s">
        <v>808</v>
      </c>
      <c r="M93" s="4"/>
      <c r="N93" s="4"/>
      <c r="O93" s="4"/>
      <c r="P93" s="4"/>
    </row>
    <row r="94" spans="1:16" ht="60" x14ac:dyDescent="0.25">
      <c r="A94" s="3">
        <v>72</v>
      </c>
      <c r="B94" s="4" t="s">
        <v>18</v>
      </c>
      <c r="C94" s="4" t="s">
        <v>39</v>
      </c>
      <c r="D94" s="4" t="s">
        <v>52</v>
      </c>
      <c r="E94" s="4" t="s">
        <v>21</v>
      </c>
      <c r="F94" s="4" t="s">
        <v>22</v>
      </c>
      <c r="G94" s="4" t="s">
        <v>23</v>
      </c>
      <c r="H94" s="4" t="s">
        <v>24</v>
      </c>
      <c r="I94" s="4" t="s">
        <v>53</v>
      </c>
      <c r="J94" s="4" t="s">
        <v>54</v>
      </c>
      <c r="K94" s="4"/>
      <c r="L94" s="43" t="s">
        <v>808</v>
      </c>
      <c r="M94" s="4"/>
      <c r="N94" s="4"/>
      <c r="O94" s="4"/>
      <c r="P94" s="4"/>
    </row>
    <row r="95" spans="1:16" ht="60" x14ac:dyDescent="0.25">
      <c r="A95" s="3">
        <v>73</v>
      </c>
      <c r="B95" s="4" t="s">
        <v>18</v>
      </c>
      <c r="C95" s="4" t="s">
        <v>43</v>
      </c>
      <c r="D95" s="4" t="s">
        <v>56</v>
      </c>
      <c r="E95" s="4" t="s">
        <v>21</v>
      </c>
      <c r="F95" s="4" t="s">
        <v>22</v>
      </c>
      <c r="G95" s="4" t="s">
        <v>23</v>
      </c>
      <c r="H95" s="4" t="s">
        <v>24</v>
      </c>
      <c r="I95" s="4" t="s">
        <v>57</v>
      </c>
      <c r="J95" s="4" t="s">
        <v>58</v>
      </c>
      <c r="K95" s="4"/>
      <c r="L95" s="43" t="s">
        <v>808</v>
      </c>
      <c r="M95" s="4"/>
      <c r="N95" s="4"/>
      <c r="O95" s="4"/>
      <c r="P95" s="4"/>
    </row>
    <row r="96" spans="1:16" ht="108" x14ac:dyDescent="0.25">
      <c r="A96" s="3">
        <v>74</v>
      </c>
      <c r="B96" s="4" t="s">
        <v>18</v>
      </c>
      <c r="C96" s="4" t="s">
        <v>47</v>
      </c>
      <c r="D96" s="4" t="s">
        <v>36</v>
      </c>
      <c r="E96" s="4" t="s">
        <v>21</v>
      </c>
      <c r="F96" s="4" t="s">
        <v>22</v>
      </c>
      <c r="G96" s="4" t="s">
        <v>23</v>
      </c>
      <c r="H96" s="4" t="s">
        <v>24</v>
      </c>
      <c r="I96" s="4" t="s">
        <v>220</v>
      </c>
      <c r="J96" s="4" t="s">
        <v>221</v>
      </c>
      <c r="K96" s="4"/>
      <c r="L96" s="43" t="s">
        <v>808</v>
      </c>
      <c r="M96" s="4"/>
      <c r="N96" s="4"/>
      <c r="O96" s="4"/>
      <c r="P96" s="4"/>
    </row>
    <row r="97" spans="1:16" ht="108" x14ac:dyDescent="0.25">
      <c r="A97" s="3">
        <v>75</v>
      </c>
      <c r="B97" s="4" t="s">
        <v>18</v>
      </c>
      <c r="C97" s="4" t="s">
        <v>51</v>
      </c>
      <c r="D97" s="4" t="s">
        <v>40</v>
      </c>
      <c r="E97" s="4" t="s">
        <v>21</v>
      </c>
      <c r="F97" s="4" t="s">
        <v>22</v>
      </c>
      <c r="G97" s="4" t="s">
        <v>23</v>
      </c>
      <c r="H97" s="4" t="s">
        <v>24</v>
      </c>
      <c r="I97" s="4" t="s">
        <v>222</v>
      </c>
      <c r="J97" s="4" t="s">
        <v>223</v>
      </c>
      <c r="K97" s="4"/>
      <c r="L97" s="43" t="s">
        <v>808</v>
      </c>
      <c r="M97" s="4"/>
      <c r="N97" s="4"/>
      <c r="O97" s="4"/>
      <c r="P97" s="4"/>
    </row>
    <row r="98" spans="1:16" ht="108" x14ac:dyDescent="0.25">
      <c r="A98" s="3">
        <v>76</v>
      </c>
      <c r="B98" s="4" t="s">
        <v>18</v>
      </c>
      <c r="C98" s="4" t="s">
        <v>55</v>
      </c>
      <c r="D98" s="4" t="s">
        <v>44</v>
      </c>
      <c r="E98" s="4" t="s">
        <v>21</v>
      </c>
      <c r="F98" s="4" t="s">
        <v>22</v>
      </c>
      <c r="G98" s="4" t="s">
        <v>23</v>
      </c>
      <c r="H98" s="4" t="s">
        <v>24</v>
      </c>
      <c r="I98" s="4" t="s">
        <v>224</v>
      </c>
      <c r="J98" s="4" t="s">
        <v>225</v>
      </c>
      <c r="K98" s="4"/>
      <c r="L98" s="43" t="s">
        <v>808</v>
      </c>
      <c r="M98" s="4"/>
      <c r="N98" s="4"/>
      <c r="O98" s="4"/>
      <c r="P98" s="4"/>
    </row>
    <row r="99" spans="1:16" x14ac:dyDescent="0.25">
      <c r="A99" s="46" t="s">
        <v>226</v>
      </c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</row>
    <row r="100" spans="1:16" ht="96" x14ac:dyDescent="0.25">
      <c r="A100" s="3">
        <v>77</v>
      </c>
      <c r="B100" s="4" t="s">
        <v>18</v>
      </c>
      <c r="C100" s="4" t="s">
        <v>60</v>
      </c>
      <c r="D100" s="4" t="s">
        <v>61</v>
      </c>
      <c r="E100" s="4" t="s">
        <v>21</v>
      </c>
      <c r="F100" s="4" t="s">
        <v>22</v>
      </c>
      <c r="G100" s="4" t="s">
        <v>23</v>
      </c>
      <c r="H100" s="4" t="s">
        <v>24</v>
      </c>
      <c r="I100" s="4" t="s">
        <v>227</v>
      </c>
      <c r="J100" s="4" t="s">
        <v>228</v>
      </c>
      <c r="K100" s="4"/>
      <c r="L100" s="43" t="s">
        <v>808</v>
      </c>
      <c r="M100" s="4"/>
      <c r="N100" s="4"/>
      <c r="O100" s="4"/>
      <c r="P100" s="4"/>
    </row>
    <row r="101" spans="1:16" ht="96" x14ac:dyDescent="0.25">
      <c r="A101" s="3">
        <v>78</v>
      </c>
      <c r="B101" s="4" t="s">
        <v>18</v>
      </c>
      <c r="C101" s="4" t="s">
        <v>64</v>
      </c>
      <c r="D101" s="4" t="s">
        <v>65</v>
      </c>
      <c r="E101" s="4" t="s">
        <v>21</v>
      </c>
      <c r="F101" s="4" t="s">
        <v>22</v>
      </c>
      <c r="G101" s="4" t="s">
        <v>23</v>
      </c>
      <c r="H101" s="4" t="s">
        <v>24</v>
      </c>
      <c r="I101" s="4" t="s">
        <v>229</v>
      </c>
      <c r="J101" s="4" t="s">
        <v>217</v>
      </c>
      <c r="K101" s="4"/>
      <c r="L101" s="43" t="s">
        <v>803</v>
      </c>
      <c r="M101" s="4"/>
      <c r="N101" s="4"/>
      <c r="O101" s="4"/>
      <c r="P101" s="4"/>
    </row>
    <row r="102" spans="1:16" ht="96" x14ac:dyDescent="0.25">
      <c r="A102" s="3">
        <v>79</v>
      </c>
      <c r="B102" s="4" t="s">
        <v>18</v>
      </c>
      <c r="C102" s="4" t="s">
        <v>66</v>
      </c>
      <c r="D102" s="4" t="s">
        <v>67</v>
      </c>
      <c r="E102" s="4" t="s">
        <v>21</v>
      </c>
      <c r="F102" s="4" t="s">
        <v>22</v>
      </c>
      <c r="G102" s="4" t="s">
        <v>23</v>
      </c>
      <c r="H102" s="4" t="s">
        <v>24</v>
      </c>
      <c r="I102" s="4" t="s">
        <v>230</v>
      </c>
      <c r="J102" s="4" t="s">
        <v>228</v>
      </c>
      <c r="K102" s="4"/>
      <c r="L102" s="43" t="s">
        <v>808</v>
      </c>
      <c r="M102" s="4"/>
      <c r="N102" s="4"/>
      <c r="O102" s="4"/>
      <c r="P102" s="4"/>
    </row>
    <row r="103" spans="1:16" ht="60" x14ac:dyDescent="0.25">
      <c r="A103" s="3">
        <v>80</v>
      </c>
      <c r="B103" s="4" t="s">
        <v>18</v>
      </c>
      <c r="C103" s="4" t="s">
        <v>69</v>
      </c>
      <c r="D103" s="4" t="s">
        <v>80</v>
      </c>
      <c r="E103" s="4" t="s">
        <v>21</v>
      </c>
      <c r="F103" s="4" t="s">
        <v>22</v>
      </c>
      <c r="G103" s="4" t="s">
        <v>23</v>
      </c>
      <c r="H103" s="4" t="s">
        <v>24</v>
      </c>
      <c r="I103" s="4" t="s">
        <v>81</v>
      </c>
      <c r="J103" s="4" t="s">
        <v>82</v>
      </c>
      <c r="K103" s="4"/>
      <c r="L103" s="43" t="s">
        <v>808</v>
      </c>
      <c r="M103" s="4"/>
      <c r="N103" s="4"/>
      <c r="O103" s="4"/>
      <c r="P103" s="4"/>
    </row>
    <row r="104" spans="1:16" ht="60" x14ac:dyDescent="0.25">
      <c r="A104" s="3">
        <v>81</v>
      </c>
      <c r="B104" s="4" t="s">
        <v>18</v>
      </c>
      <c r="C104" s="4" t="s">
        <v>73</v>
      </c>
      <c r="D104" s="4" t="s">
        <v>84</v>
      </c>
      <c r="E104" s="4" t="s">
        <v>21</v>
      </c>
      <c r="F104" s="4" t="s">
        <v>22</v>
      </c>
      <c r="G104" s="4" t="s">
        <v>23</v>
      </c>
      <c r="H104" s="4" t="s">
        <v>24</v>
      </c>
      <c r="I104" s="4" t="s">
        <v>85</v>
      </c>
      <c r="J104" s="4" t="s">
        <v>54</v>
      </c>
      <c r="K104" s="4"/>
      <c r="L104" s="43" t="s">
        <v>808</v>
      </c>
      <c r="M104" s="4"/>
      <c r="N104" s="4"/>
      <c r="O104" s="4"/>
      <c r="P104" s="4"/>
    </row>
    <row r="105" spans="1:16" ht="60" x14ac:dyDescent="0.25">
      <c r="A105" s="3">
        <v>82</v>
      </c>
      <c r="B105" s="4" t="s">
        <v>18</v>
      </c>
      <c r="C105" s="4" t="s">
        <v>76</v>
      </c>
      <c r="D105" s="4" t="s">
        <v>87</v>
      </c>
      <c r="E105" s="4" t="s">
        <v>21</v>
      </c>
      <c r="F105" s="4" t="s">
        <v>22</v>
      </c>
      <c r="G105" s="4" t="s">
        <v>23</v>
      </c>
      <c r="H105" s="4" t="s">
        <v>24</v>
      </c>
      <c r="I105" s="4" t="s">
        <v>88</v>
      </c>
      <c r="J105" s="4" t="s">
        <v>82</v>
      </c>
      <c r="K105" s="4"/>
      <c r="L105" s="43" t="s">
        <v>808</v>
      </c>
      <c r="M105" s="4"/>
      <c r="N105" s="4"/>
      <c r="O105" s="4"/>
      <c r="P105" s="4"/>
    </row>
    <row r="106" spans="1:16" ht="108" x14ac:dyDescent="0.25">
      <c r="A106" s="3">
        <v>83</v>
      </c>
      <c r="B106" s="4" t="s">
        <v>18</v>
      </c>
      <c r="C106" s="4" t="s">
        <v>79</v>
      </c>
      <c r="D106" s="4" t="s">
        <v>70</v>
      </c>
      <c r="E106" s="4" t="s">
        <v>21</v>
      </c>
      <c r="F106" s="4" t="s">
        <v>22</v>
      </c>
      <c r="G106" s="4" t="s">
        <v>23</v>
      </c>
      <c r="H106" s="4" t="s">
        <v>24</v>
      </c>
      <c r="I106" s="4" t="s">
        <v>231</v>
      </c>
      <c r="J106" s="4" t="s">
        <v>232</v>
      </c>
      <c r="K106" s="4"/>
      <c r="L106" s="43" t="s">
        <v>808</v>
      </c>
      <c r="M106" s="4"/>
      <c r="N106" s="4"/>
      <c r="O106" s="4"/>
      <c r="P106" s="4"/>
    </row>
    <row r="107" spans="1:16" ht="108" x14ac:dyDescent="0.25">
      <c r="A107" s="3">
        <v>84</v>
      </c>
      <c r="B107" s="4" t="s">
        <v>18</v>
      </c>
      <c r="C107" s="4" t="s">
        <v>83</v>
      </c>
      <c r="D107" s="4" t="s">
        <v>74</v>
      </c>
      <c r="E107" s="4" t="s">
        <v>21</v>
      </c>
      <c r="F107" s="4" t="s">
        <v>22</v>
      </c>
      <c r="G107" s="4" t="s">
        <v>23</v>
      </c>
      <c r="H107" s="4" t="s">
        <v>24</v>
      </c>
      <c r="I107" s="4" t="s">
        <v>233</v>
      </c>
      <c r="J107" s="4" t="s">
        <v>223</v>
      </c>
      <c r="K107" s="4"/>
      <c r="L107" s="43" t="s">
        <v>808</v>
      </c>
      <c r="M107" s="4"/>
      <c r="N107" s="4"/>
      <c r="O107" s="4"/>
      <c r="P107" s="4"/>
    </row>
    <row r="108" spans="1:16" ht="108" x14ac:dyDescent="0.25">
      <c r="A108" s="3">
        <v>85</v>
      </c>
      <c r="B108" s="4" t="s">
        <v>18</v>
      </c>
      <c r="C108" s="4" t="s">
        <v>86</v>
      </c>
      <c r="D108" s="4" t="s">
        <v>77</v>
      </c>
      <c r="E108" s="4" t="s">
        <v>21</v>
      </c>
      <c r="F108" s="4" t="s">
        <v>22</v>
      </c>
      <c r="G108" s="4" t="s">
        <v>23</v>
      </c>
      <c r="H108" s="4" t="s">
        <v>24</v>
      </c>
      <c r="I108" s="4" t="s">
        <v>234</v>
      </c>
      <c r="J108" s="4" t="s">
        <v>232</v>
      </c>
      <c r="K108" s="4"/>
      <c r="L108" s="43" t="s">
        <v>808</v>
      </c>
      <c r="M108" s="4"/>
      <c r="N108" s="4"/>
      <c r="O108" s="4"/>
      <c r="P108" s="4"/>
    </row>
    <row r="109" spans="1:16" x14ac:dyDescent="0.25">
      <c r="A109" s="46" t="s">
        <v>235</v>
      </c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</row>
    <row r="110" spans="1:16" ht="144" x14ac:dyDescent="0.25">
      <c r="A110" s="3">
        <v>86</v>
      </c>
      <c r="B110" s="4" t="s">
        <v>18</v>
      </c>
      <c r="C110" s="4" t="s">
        <v>90</v>
      </c>
      <c r="D110" s="4" t="s">
        <v>91</v>
      </c>
      <c r="E110" s="4" t="s">
        <v>21</v>
      </c>
      <c r="F110" s="4" t="s">
        <v>22</v>
      </c>
      <c r="G110" s="4" t="s">
        <v>23</v>
      </c>
      <c r="H110" s="4" t="s">
        <v>24</v>
      </c>
      <c r="I110" s="4" t="s">
        <v>236</v>
      </c>
      <c r="J110" s="4" t="s">
        <v>237</v>
      </c>
      <c r="K110" s="4"/>
      <c r="L110" s="43" t="s">
        <v>808</v>
      </c>
      <c r="M110" s="4"/>
      <c r="N110" s="4"/>
      <c r="O110" s="4"/>
      <c r="P110" s="4"/>
    </row>
    <row r="111" spans="1:16" x14ac:dyDescent="0.25">
      <c r="A111" s="46" t="s">
        <v>238</v>
      </c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</row>
    <row r="112" spans="1:16" ht="108" x14ac:dyDescent="0.25">
      <c r="A112" s="3">
        <v>87</v>
      </c>
      <c r="B112" s="4" t="s">
        <v>18</v>
      </c>
      <c r="C112" s="4" t="s">
        <v>95</v>
      </c>
      <c r="D112" s="4" t="s">
        <v>96</v>
      </c>
      <c r="E112" s="4" t="s">
        <v>97</v>
      </c>
      <c r="F112" s="4" t="s">
        <v>22</v>
      </c>
      <c r="G112" s="4" t="s">
        <v>23</v>
      </c>
      <c r="H112" s="4" t="s">
        <v>24</v>
      </c>
      <c r="I112" s="4" t="s">
        <v>239</v>
      </c>
      <c r="J112" s="4" t="s">
        <v>240</v>
      </c>
      <c r="K112" s="4"/>
      <c r="L112" s="43" t="s">
        <v>808</v>
      </c>
      <c r="M112" s="4"/>
      <c r="N112" s="4"/>
      <c r="O112" s="4"/>
      <c r="P112" s="4"/>
    </row>
    <row r="113" spans="1:16" ht="84" x14ac:dyDescent="0.25">
      <c r="A113" s="3">
        <v>88</v>
      </c>
      <c r="B113" s="4" t="s">
        <v>18</v>
      </c>
      <c r="C113" s="4" t="s">
        <v>100</v>
      </c>
      <c r="D113" s="4" t="s">
        <v>101</v>
      </c>
      <c r="E113" s="4" t="s">
        <v>97</v>
      </c>
      <c r="F113" s="4" t="s">
        <v>22</v>
      </c>
      <c r="G113" s="4" t="s">
        <v>23</v>
      </c>
      <c r="H113" s="4" t="s">
        <v>24</v>
      </c>
      <c r="I113" s="4" t="s">
        <v>241</v>
      </c>
      <c r="J113" s="4" t="s">
        <v>242</v>
      </c>
      <c r="K113" s="4"/>
      <c r="L113" s="43" t="s">
        <v>808</v>
      </c>
      <c r="M113" s="4"/>
      <c r="N113" s="4"/>
      <c r="O113" s="4"/>
      <c r="P113" s="4"/>
    </row>
    <row r="114" spans="1:16" x14ac:dyDescent="0.25">
      <c r="A114" s="46" t="s">
        <v>243</v>
      </c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</row>
    <row r="115" spans="1:16" ht="120" x14ac:dyDescent="0.25">
      <c r="A115" s="3">
        <v>89</v>
      </c>
      <c r="B115" s="4" t="s">
        <v>18</v>
      </c>
      <c r="C115" s="4" t="s">
        <v>105</v>
      </c>
      <c r="D115" s="4" t="s">
        <v>106</v>
      </c>
      <c r="E115" s="4" t="s">
        <v>107</v>
      </c>
      <c r="F115" s="4" t="s">
        <v>22</v>
      </c>
      <c r="G115" s="4" t="s">
        <v>23</v>
      </c>
      <c r="H115" s="4" t="s">
        <v>24</v>
      </c>
      <c r="I115" s="4" t="s">
        <v>244</v>
      </c>
      <c r="J115" s="4" t="s">
        <v>245</v>
      </c>
      <c r="K115" s="4"/>
      <c r="L115" s="43" t="s">
        <v>808</v>
      </c>
      <c r="M115" s="4"/>
      <c r="N115" s="4"/>
      <c r="O115" s="4"/>
      <c r="P115" s="4"/>
    </row>
    <row r="116" spans="1:16" ht="84" x14ac:dyDescent="0.25">
      <c r="A116" s="3">
        <v>90</v>
      </c>
      <c r="B116" s="4" t="s">
        <v>18</v>
      </c>
      <c r="C116" s="4" t="s">
        <v>110</v>
      </c>
      <c r="D116" s="4" t="s">
        <v>115</v>
      </c>
      <c r="E116" s="4" t="s">
        <v>107</v>
      </c>
      <c r="F116" s="4" t="s">
        <v>22</v>
      </c>
      <c r="G116" s="4" t="s">
        <v>23</v>
      </c>
      <c r="H116" s="4" t="s">
        <v>24</v>
      </c>
      <c r="I116" s="4" t="s">
        <v>116</v>
      </c>
      <c r="J116" s="4" t="s">
        <v>42</v>
      </c>
      <c r="K116" s="4"/>
      <c r="L116" s="43" t="s">
        <v>808</v>
      </c>
      <c r="M116" s="4"/>
      <c r="N116" s="4"/>
      <c r="O116" s="4"/>
      <c r="P116" s="4"/>
    </row>
    <row r="117" spans="1:16" ht="132" x14ac:dyDescent="0.25">
      <c r="A117" s="3">
        <v>91</v>
      </c>
      <c r="B117" s="4" t="s">
        <v>18</v>
      </c>
      <c r="C117" s="4" t="s">
        <v>114</v>
      </c>
      <c r="D117" s="4" t="s">
        <v>111</v>
      </c>
      <c r="E117" s="4" t="s">
        <v>107</v>
      </c>
      <c r="F117" s="4" t="s">
        <v>22</v>
      </c>
      <c r="G117" s="4" t="s">
        <v>23</v>
      </c>
      <c r="H117" s="4" t="s">
        <v>24</v>
      </c>
      <c r="I117" s="4" t="s">
        <v>246</v>
      </c>
      <c r="J117" s="4" t="s">
        <v>219</v>
      </c>
      <c r="K117" s="4"/>
      <c r="L117" s="43" t="s">
        <v>808</v>
      </c>
      <c r="M117" s="4"/>
      <c r="N117" s="4"/>
      <c r="O117" s="4"/>
      <c r="P117" s="4"/>
    </row>
    <row r="118" spans="1:16" x14ac:dyDescent="0.25">
      <c r="A118" s="46" t="s">
        <v>247</v>
      </c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</row>
    <row r="119" spans="1:16" ht="72" x14ac:dyDescent="0.25">
      <c r="A119" s="3">
        <v>92</v>
      </c>
      <c r="B119" s="4" t="s">
        <v>18</v>
      </c>
      <c r="C119" s="4" t="s">
        <v>118</v>
      </c>
      <c r="D119" s="4" t="s">
        <v>119</v>
      </c>
      <c r="E119" s="4" t="s">
        <v>21</v>
      </c>
      <c r="F119" s="4" t="s">
        <v>22</v>
      </c>
      <c r="G119" s="4" t="s">
        <v>23</v>
      </c>
      <c r="H119" s="4" t="s">
        <v>24</v>
      </c>
      <c r="I119" s="4" t="s">
        <v>248</v>
      </c>
      <c r="J119" s="4" t="s">
        <v>249</v>
      </c>
      <c r="K119" s="4"/>
      <c r="L119" s="43" t="s">
        <v>808</v>
      </c>
      <c r="M119" s="4"/>
      <c r="N119" s="4"/>
      <c r="O119" s="4"/>
      <c r="P119" s="4"/>
    </row>
    <row r="120" spans="1:16" ht="72" x14ac:dyDescent="0.25">
      <c r="A120" s="3">
        <v>93</v>
      </c>
      <c r="B120" s="4" t="s">
        <v>18</v>
      </c>
      <c r="C120" s="4" t="s">
        <v>122</v>
      </c>
      <c r="D120" s="4" t="s">
        <v>123</v>
      </c>
      <c r="E120" s="4" t="s">
        <v>21</v>
      </c>
      <c r="F120" s="4" t="s">
        <v>22</v>
      </c>
      <c r="G120" s="4" t="s">
        <v>23</v>
      </c>
      <c r="H120" s="4" t="s">
        <v>24</v>
      </c>
      <c r="I120" s="4" t="s">
        <v>250</v>
      </c>
      <c r="J120" s="4" t="s">
        <v>251</v>
      </c>
      <c r="K120" s="4"/>
      <c r="L120" s="43" t="s">
        <v>808</v>
      </c>
      <c r="M120" s="4"/>
      <c r="N120" s="4"/>
      <c r="O120" s="4"/>
      <c r="P120" s="4"/>
    </row>
    <row r="121" spans="1:16" x14ac:dyDescent="0.25">
      <c r="A121" s="46" t="s">
        <v>252</v>
      </c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</row>
    <row r="122" spans="1:16" ht="60" x14ac:dyDescent="0.25">
      <c r="A122" s="3">
        <v>94</v>
      </c>
      <c r="B122" s="4" t="s">
        <v>18</v>
      </c>
      <c r="C122" s="4" t="s">
        <v>127</v>
      </c>
      <c r="D122" s="4" t="s">
        <v>128</v>
      </c>
      <c r="E122" s="4" t="s">
        <v>97</v>
      </c>
      <c r="F122" s="4" t="s">
        <v>22</v>
      </c>
      <c r="G122" s="4" t="s">
        <v>23</v>
      </c>
      <c r="H122" s="4" t="s">
        <v>24</v>
      </c>
      <c r="I122" s="4" t="s">
        <v>253</v>
      </c>
      <c r="J122" s="4" t="s">
        <v>254</v>
      </c>
      <c r="K122" s="4"/>
      <c r="L122" s="43" t="s">
        <v>808</v>
      </c>
      <c r="M122" s="4"/>
      <c r="N122" s="4"/>
      <c r="O122" s="4"/>
      <c r="P122" s="4"/>
    </row>
    <row r="123" spans="1:16" ht="60" x14ac:dyDescent="0.25">
      <c r="A123" s="3">
        <v>95</v>
      </c>
      <c r="B123" s="4" t="s">
        <v>18</v>
      </c>
      <c r="C123" s="4" t="s">
        <v>131</v>
      </c>
      <c r="D123" s="4" t="s">
        <v>132</v>
      </c>
      <c r="E123" s="4" t="s">
        <v>97</v>
      </c>
      <c r="F123" s="4" t="s">
        <v>22</v>
      </c>
      <c r="G123" s="4" t="s">
        <v>23</v>
      </c>
      <c r="H123" s="4" t="s">
        <v>24</v>
      </c>
      <c r="I123" s="4" t="s">
        <v>255</v>
      </c>
      <c r="J123" s="4" t="s">
        <v>254</v>
      </c>
      <c r="K123" s="4"/>
      <c r="L123" s="43" t="s">
        <v>808</v>
      </c>
      <c r="M123" s="4"/>
      <c r="N123" s="4"/>
      <c r="O123" s="4"/>
      <c r="P123" s="4"/>
    </row>
    <row r="124" spans="1:16" x14ac:dyDescent="0.25">
      <c r="A124" s="46" t="s">
        <v>256</v>
      </c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</row>
    <row r="125" spans="1:16" ht="60" x14ac:dyDescent="0.25">
      <c r="A125" s="3">
        <v>96</v>
      </c>
      <c r="B125" s="4" t="s">
        <v>18</v>
      </c>
      <c r="C125" s="4" t="s">
        <v>135</v>
      </c>
      <c r="D125" s="4" t="s">
        <v>136</v>
      </c>
      <c r="E125" s="4" t="s">
        <v>21</v>
      </c>
      <c r="F125" s="4" t="s">
        <v>22</v>
      </c>
      <c r="G125" s="4" t="s">
        <v>23</v>
      </c>
      <c r="H125" s="4" t="s">
        <v>24</v>
      </c>
      <c r="I125" s="4" t="s">
        <v>257</v>
      </c>
      <c r="J125" s="4" t="s">
        <v>254</v>
      </c>
      <c r="K125" s="4"/>
      <c r="L125" s="43" t="s">
        <v>808</v>
      </c>
      <c r="M125" s="4"/>
      <c r="N125" s="4"/>
      <c r="O125" s="4"/>
      <c r="P125" s="4"/>
    </row>
    <row r="126" spans="1:16" ht="60" x14ac:dyDescent="0.25">
      <c r="A126" s="3">
        <v>97</v>
      </c>
      <c r="B126" s="4" t="s">
        <v>18</v>
      </c>
      <c r="C126" s="4" t="s">
        <v>138</v>
      </c>
      <c r="D126" s="4" t="s">
        <v>139</v>
      </c>
      <c r="E126" s="4" t="s">
        <v>21</v>
      </c>
      <c r="F126" s="4" t="s">
        <v>22</v>
      </c>
      <c r="G126" s="4" t="s">
        <v>23</v>
      </c>
      <c r="H126" s="4" t="s">
        <v>24</v>
      </c>
      <c r="I126" s="4" t="s">
        <v>258</v>
      </c>
      <c r="J126" s="4" t="s">
        <v>259</v>
      </c>
      <c r="K126" s="4"/>
      <c r="L126" s="43" t="s">
        <v>808</v>
      </c>
      <c r="M126" s="4"/>
      <c r="N126" s="4"/>
      <c r="O126" s="4"/>
      <c r="P126" s="4"/>
    </row>
    <row r="127" spans="1:16" ht="96" x14ac:dyDescent="0.25">
      <c r="A127" s="3">
        <v>98</v>
      </c>
      <c r="B127" s="4" t="s">
        <v>18</v>
      </c>
      <c r="C127" s="4" t="s">
        <v>142</v>
      </c>
      <c r="D127" s="4" t="s">
        <v>143</v>
      </c>
      <c r="E127" s="4" t="s">
        <v>21</v>
      </c>
      <c r="F127" s="4" t="s">
        <v>22</v>
      </c>
      <c r="G127" s="4" t="s">
        <v>23</v>
      </c>
      <c r="H127" s="4" t="s">
        <v>24</v>
      </c>
      <c r="I127" s="4" t="s">
        <v>216</v>
      </c>
      <c r="J127" s="4" t="s">
        <v>217</v>
      </c>
      <c r="K127" s="4"/>
      <c r="L127" s="43" t="s">
        <v>808</v>
      </c>
      <c r="M127" s="4"/>
      <c r="N127" s="4"/>
      <c r="O127" s="4"/>
      <c r="P127" s="4"/>
    </row>
    <row r="128" spans="1:16" x14ac:dyDescent="0.25">
      <c r="A128" s="46" t="s">
        <v>260</v>
      </c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</row>
    <row r="129" spans="1:16" x14ac:dyDescent="0.25">
      <c r="A129" s="46" t="s">
        <v>261</v>
      </c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</row>
    <row r="130" spans="1:16" ht="96" x14ac:dyDescent="0.25">
      <c r="A130" s="3">
        <v>99</v>
      </c>
      <c r="B130" s="4" t="s">
        <v>18</v>
      </c>
      <c r="C130" s="4" t="s">
        <v>146</v>
      </c>
      <c r="D130" s="4" t="s">
        <v>20</v>
      </c>
      <c r="E130" s="4" t="s">
        <v>21</v>
      </c>
      <c r="F130" s="4" t="s">
        <v>22</v>
      </c>
      <c r="G130" s="4" t="s">
        <v>23</v>
      </c>
      <c r="H130" s="4" t="s">
        <v>24</v>
      </c>
      <c r="I130" s="4" t="s">
        <v>262</v>
      </c>
      <c r="J130" s="4" t="s">
        <v>228</v>
      </c>
      <c r="K130" s="4"/>
      <c r="L130" s="43" t="s">
        <v>808</v>
      </c>
      <c r="M130" s="4"/>
      <c r="N130" s="4"/>
      <c r="O130" s="4"/>
      <c r="P130" s="4"/>
    </row>
    <row r="131" spans="1:16" ht="96" x14ac:dyDescent="0.25">
      <c r="A131" s="3">
        <v>100</v>
      </c>
      <c r="B131" s="4" t="s">
        <v>18</v>
      </c>
      <c r="C131" s="4" t="s">
        <v>148</v>
      </c>
      <c r="D131" s="4" t="s">
        <v>28</v>
      </c>
      <c r="E131" s="4" t="s">
        <v>21</v>
      </c>
      <c r="F131" s="4" t="s">
        <v>22</v>
      </c>
      <c r="G131" s="4" t="s">
        <v>23</v>
      </c>
      <c r="H131" s="4" t="s">
        <v>24</v>
      </c>
      <c r="I131" s="4" t="s">
        <v>263</v>
      </c>
      <c r="J131" s="4" t="s">
        <v>228</v>
      </c>
      <c r="K131" s="4"/>
      <c r="L131" s="43" t="s">
        <v>808</v>
      </c>
      <c r="M131" s="4"/>
      <c r="N131" s="4"/>
      <c r="O131" s="4"/>
      <c r="P131" s="4"/>
    </row>
    <row r="132" spans="1:16" ht="96" x14ac:dyDescent="0.25">
      <c r="A132" s="3">
        <v>101</v>
      </c>
      <c r="B132" s="4" t="s">
        <v>18</v>
      </c>
      <c r="C132" s="4" t="s">
        <v>151</v>
      </c>
      <c r="D132" s="4" t="s">
        <v>32</v>
      </c>
      <c r="E132" s="4" t="s">
        <v>21</v>
      </c>
      <c r="F132" s="4" t="s">
        <v>22</v>
      </c>
      <c r="G132" s="4" t="s">
        <v>23</v>
      </c>
      <c r="H132" s="4" t="s">
        <v>24</v>
      </c>
      <c r="I132" s="4" t="s">
        <v>264</v>
      </c>
      <c r="J132" s="4" t="s">
        <v>228</v>
      </c>
      <c r="K132" s="4"/>
      <c r="L132" s="43" t="s">
        <v>808</v>
      </c>
      <c r="M132" s="4"/>
      <c r="N132" s="4"/>
      <c r="O132" s="4"/>
      <c r="P132" s="4"/>
    </row>
    <row r="133" spans="1:16" ht="60" x14ac:dyDescent="0.25">
      <c r="A133" s="3">
        <v>102</v>
      </c>
      <c r="B133" s="4" t="s">
        <v>18</v>
      </c>
      <c r="C133" s="4" t="s">
        <v>153</v>
      </c>
      <c r="D133" s="4" t="s">
        <v>48</v>
      </c>
      <c r="E133" s="4" t="s">
        <v>21</v>
      </c>
      <c r="F133" s="4" t="s">
        <v>22</v>
      </c>
      <c r="G133" s="4" t="s">
        <v>23</v>
      </c>
      <c r="H133" s="4" t="s">
        <v>24</v>
      </c>
      <c r="I133" s="4" t="s">
        <v>161</v>
      </c>
      <c r="J133" s="4" t="s">
        <v>82</v>
      </c>
      <c r="K133" s="4"/>
      <c r="L133" s="43" t="s">
        <v>808</v>
      </c>
      <c r="M133" s="4"/>
      <c r="N133" s="4"/>
      <c r="O133" s="4"/>
      <c r="P133" s="4"/>
    </row>
    <row r="134" spans="1:16" ht="60" x14ac:dyDescent="0.25">
      <c r="A134" s="3">
        <v>103</v>
      </c>
      <c r="B134" s="4" t="s">
        <v>18</v>
      </c>
      <c r="C134" s="4" t="s">
        <v>155</v>
      </c>
      <c r="D134" s="4" t="s">
        <v>52</v>
      </c>
      <c r="E134" s="4" t="s">
        <v>21</v>
      </c>
      <c r="F134" s="4" t="s">
        <v>22</v>
      </c>
      <c r="G134" s="4" t="s">
        <v>23</v>
      </c>
      <c r="H134" s="4" t="s">
        <v>24</v>
      </c>
      <c r="I134" s="4" t="s">
        <v>163</v>
      </c>
      <c r="J134" s="4" t="s">
        <v>82</v>
      </c>
      <c r="K134" s="4"/>
      <c r="L134" s="43" t="s">
        <v>808</v>
      </c>
      <c r="M134" s="4"/>
      <c r="N134" s="4"/>
      <c r="O134" s="4"/>
      <c r="P134" s="4"/>
    </row>
    <row r="135" spans="1:16" ht="60" x14ac:dyDescent="0.25">
      <c r="A135" s="3">
        <v>104</v>
      </c>
      <c r="B135" s="4" t="s">
        <v>18</v>
      </c>
      <c r="C135" s="4" t="s">
        <v>158</v>
      </c>
      <c r="D135" s="4" t="s">
        <v>56</v>
      </c>
      <c r="E135" s="4" t="s">
        <v>21</v>
      </c>
      <c r="F135" s="4" t="s">
        <v>22</v>
      </c>
      <c r="G135" s="4" t="s">
        <v>23</v>
      </c>
      <c r="H135" s="4" t="s">
        <v>24</v>
      </c>
      <c r="I135" s="4" t="s">
        <v>166</v>
      </c>
      <c r="J135" s="4" t="s">
        <v>82</v>
      </c>
      <c r="K135" s="4"/>
      <c r="L135" s="43" t="s">
        <v>808</v>
      </c>
      <c r="M135" s="4"/>
      <c r="N135" s="4"/>
      <c r="O135" s="4"/>
      <c r="P135" s="4"/>
    </row>
    <row r="136" spans="1:16" ht="108" x14ac:dyDescent="0.25">
      <c r="A136" s="3">
        <v>105</v>
      </c>
      <c r="B136" s="4" t="s">
        <v>18</v>
      </c>
      <c r="C136" s="4" t="s">
        <v>160</v>
      </c>
      <c r="D136" s="4" t="s">
        <v>36</v>
      </c>
      <c r="E136" s="4" t="s">
        <v>21</v>
      </c>
      <c r="F136" s="4" t="s">
        <v>22</v>
      </c>
      <c r="G136" s="4" t="s">
        <v>23</v>
      </c>
      <c r="H136" s="4" t="s">
        <v>24</v>
      </c>
      <c r="I136" s="4" t="s">
        <v>265</v>
      </c>
      <c r="J136" s="4" t="s">
        <v>232</v>
      </c>
      <c r="K136" s="4"/>
      <c r="L136" s="43" t="s">
        <v>808</v>
      </c>
      <c r="M136" s="4"/>
      <c r="N136" s="4"/>
      <c r="O136" s="4"/>
      <c r="P136" s="4"/>
    </row>
    <row r="137" spans="1:16" ht="108" x14ac:dyDescent="0.25">
      <c r="A137" s="3">
        <v>106</v>
      </c>
      <c r="B137" s="4" t="s">
        <v>18</v>
      </c>
      <c r="C137" s="4" t="s">
        <v>162</v>
      </c>
      <c r="D137" s="4" t="s">
        <v>40</v>
      </c>
      <c r="E137" s="4" t="s">
        <v>21</v>
      </c>
      <c r="F137" s="4" t="s">
        <v>22</v>
      </c>
      <c r="G137" s="4" t="s">
        <v>23</v>
      </c>
      <c r="H137" s="4" t="s">
        <v>24</v>
      </c>
      <c r="I137" s="4" t="s">
        <v>266</v>
      </c>
      <c r="J137" s="4" t="s">
        <v>232</v>
      </c>
      <c r="K137" s="4"/>
      <c r="L137" s="43" t="s">
        <v>808</v>
      </c>
      <c r="M137" s="4"/>
      <c r="N137" s="4"/>
      <c r="O137" s="4"/>
      <c r="P137" s="4"/>
    </row>
    <row r="138" spans="1:16" ht="108" x14ac:dyDescent="0.25">
      <c r="A138" s="3">
        <v>107</v>
      </c>
      <c r="B138" s="4" t="s">
        <v>18</v>
      </c>
      <c r="C138" s="4" t="s">
        <v>165</v>
      </c>
      <c r="D138" s="4" t="s">
        <v>44</v>
      </c>
      <c r="E138" s="4" t="s">
        <v>21</v>
      </c>
      <c r="F138" s="4" t="s">
        <v>22</v>
      </c>
      <c r="G138" s="4" t="s">
        <v>23</v>
      </c>
      <c r="H138" s="4" t="s">
        <v>24</v>
      </c>
      <c r="I138" s="4" t="s">
        <v>267</v>
      </c>
      <c r="J138" s="4" t="s">
        <v>232</v>
      </c>
      <c r="K138" s="4"/>
      <c r="L138" s="43" t="s">
        <v>808</v>
      </c>
      <c r="M138" s="4"/>
      <c r="N138" s="4"/>
      <c r="O138" s="4"/>
      <c r="P138" s="4"/>
    </row>
    <row r="139" spans="1:16" x14ac:dyDescent="0.25">
      <c r="A139" s="46" t="s">
        <v>268</v>
      </c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</row>
    <row r="140" spans="1:16" ht="96" x14ac:dyDescent="0.25">
      <c r="A140" s="3">
        <v>108</v>
      </c>
      <c r="B140" s="4" t="s">
        <v>18</v>
      </c>
      <c r="C140" s="4" t="s">
        <v>168</v>
      </c>
      <c r="D140" s="4" t="s">
        <v>61</v>
      </c>
      <c r="E140" s="4" t="s">
        <v>21</v>
      </c>
      <c r="F140" s="4" t="s">
        <v>22</v>
      </c>
      <c r="G140" s="4" t="s">
        <v>23</v>
      </c>
      <c r="H140" s="4" t="s">
        <v>24</v>
      </c>
      <c r="I140" s="4" t="s">
        <v>269</v>
      </c>
      <c r="J140" s="4" t="s">
        <v>228</v>
      </c>
      <c r="K140" s="4"/>
      <c r="L140" s="43" t="s">
        <v>808</v>
      </c>
      <c r="M140" s="4"/>
      <c r="N140" s="4"/>
      <c r="O140" s="4"/>
      <c r="P140" s="4"/>
    </row>
    <row r="141" spans="1:16" ht="96" x14ac:dyDescent="0.25">
      <c r="A141" s="3">
        <v>109</v>
      </c>
      <c r="B141" s="4" t="s">
        <v>18</v>
      </c>
      <c r="C141" s="4" t="s">
        <v>170</v>
      </c>
      <c r="D141" s="4" t="s">
        <v>67</v>
      </c>
      <c r="E141" s="4" t="s">
        <v>21</v>
      </c>
      <c r="F141" s="4" t="s">
        <v>22</v>
      </c>
      <c r="G141" s="4" t="s">
        <v>23</v>
      </c>
      <c r="H141" s="4" t="s">
        <v>24</v>
      </c>
      <c r="I141" s="4" t="s">
        <v>270</v>
      </c>
      <c r="J141" s="4" t="s">
        <v>228</v>
      </c>
      <c r="K141" s="4"/>
      <c r="L141" s="43" t="s">
        <v>808</v>
      </c>
      <c r="M141" s="4"/>
      <c r="N141" s="4"/>
      <c r="O141" s="4"/>
      <c r="P141" s="4"/>
    </row>
    <row r="142" spans="1:16" ht="60" x14ac:dyDescent="0.25">
      <c r="A142" s="3">
        <v>110</v>
      </c>
      <c r="B142" s="4" t="s">
        <v>18</v>
      </c>
      <c r="C142" s="4" t="s">
        <v>172</v>
      </c>
      <c r="D142" s="4" t="s">
        <v>80</v>
      </c>
      <c r="E142" s="4" t="s">
        <v>21</v>
      </c>
      <c r="F142" s="4" t="s">
        <v>22</v>
      </c>
      <c r="G142" s="4" t="s">
        <v>23</v>
      </c>
      <c r="H142" s="4" t="s">
        <v>24</v>
      </c>
      <c r="I142" s="4" t="s">
        <v>177</v>
      </c>
      <c r="J142" s="4" t="s">
        <v>82</v>
      </c>
      <c r="K142" s="4"/>
      <c r="L142" s="43" t="s">
        <v>808</v>
      </c>
      <c r="M142" s="4"/>
      <c r="N142" s="4"/>
      <c r="O142" s="4"/>
      <c r="P142" s="4"/>
    </row>
    <row r="143" spans="1:16" ht="60" x14ac:dyDescent="0.25">
      <c r="A143" s="3">
        <v>111</v>
      </c>
      <c r="B143" s="4" t="s">
        <v>18</v>
      </c>
      <c r="C143" s="4" t="s">
        <v>174</v>
      </c>
      <c r="D143" s="4" t="s">
        <v>87</v>
      </c>
      <c r="E143" s="4" t="s">
        <v>21</v>
      </c>
      <c r="F143" s="4" t="s">
        <v>22</v>
      </c>
      <c r="G143" s="4" t="s">
        <v>23</v>
      </c>
      <c r="H143" s="4" t="s">
        <v>24</v>
      </c>
      <c r="I143" s="4" t="s">
        <v>179</v>
      </c>
      <c r="J143" s="4" t="s">
        <v>82</v>
      </c>
      <c r="K143" s="4"/>
      <c r="L143" s="43" t="s">
        <v>808</v>
      </c>
      <c r="M143" s="4"/>
      <c r="N143" s="4"/>
      <c r="O143" s="4"/>
      <c r="P143" s="4"/>
    </row>
    <row r="144" spans="1:16" ht="108" x14ac:dyDescent="0.25">
      <c r="A144" s="3">
        <v>112</v>
      </c>
      <c r="B144" s="4" t="s">
        <v>18</v>
      </c>
      <c r="C144" s="4" t="s">
        <v>176</v>
      </c>
      <c r="D144" s="4" t="s">
        <v>70</v>
      </c>
      <c r="E144" s="4" t="s">
        <v>21</v>
      </c>
      <c r="F144" s="4" t="s">
        <v>22</v>
      </c>
      <c r="G144" s="4" t="s">
        <v>23</v>
      </c>
      <c r="H144" s="4" t="s">
        <v>24</v>
      </c>
      <c r="I144" s="4" t="s">
        <v>271</v>
      </c>
      <c r="J144" s="4" t="s">
        <v>232</v>
      </c>
      <c r="K144" s="4"/>
      <c r="L144" s="43" t="s">
        <v>808</v>
      </c>
      <c r="M144" s="4"/>
      <c r="N144" s="4"/>
      <c r="O144" s="4"/>
      <c r="P144" s="4"/>
    </row>
    <row r="145" spans="1:16" ht="108" x14ac:dyDescent="0.25">
      <c r="A145" s="3">
        <v>113</v>
      </c>
      <c r="B145" s="4" t="s">
        <v>18</v>
      </c>
      <c r="C145" s="4" t="s">
        <v>178</v>
      </c>
      <c r="D145" s="4" t="s">
        <v>77</v>
      </c>
      <c r="E145" s="4" t="s">
        <v>21</v>
      </c>
      <c r="F145" s="4" t="s">
        <v>22</v>
      </c>
      <c r="G145" s="4" t="s">
        <v>23</v>
      </c>
      <c r="H145" s="4" t="s">
        <v>24</v>
      </c>
      <c r="I145" s="4" t="s">
        <v>272</v>
      </c>
      <c r="J145" s="4" t="s">
        <v>232</v>
      </c>
      <c r="K145" s="4"/>
      <c r="L145" s="43" t="s">
        <v>808</v>
      </c>
      <c r="M145" s="4"/>
      <c r="N145" s="4"/>
      <c r="O145" s="4"/>
      <c r="P145" s="4"/>
    </row>
    <row r="146" spans="1:16" x14ac:dyDescent="0.25">
      <c r="A146" s="46" t="s">
        <v>273</v>
      </c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</row>
    <row r="147" spans="1:16" ht="120" x14ac:dyDescent="0.25">
      <c r="A147" s="3">
        <v>114</v>
      </c>
      <c r="B147" s="4" t="s">
        <v>18</v>
      </c>
      <c r="C147" s="4" t="s">
        <v>181</v>
      </c>
      <c r="D147" s="4" t="s">
        <v>96</v>
      </c>
      <c r="E147" s="4" t="s">
        <v>97</v>
      </c>
      <c r="F147" s="4" t="s">
        <v>22</v>
      </c>
      <c r="G147" s="4" t="s">
        <v>23</v>
      </c>
      <c r="H147" s="4" t="s">
        <v>24</v>
      </c>
      <c r="I147" s="4" t="s">
        <v>274</v>
      </c>
      <c r="J147" s="4" t="s">
        <v>275</v>
      </c>
      <c r="K147" s="4"/>
      <c r="L147" s="43" t="s">
        <v>808</v>
      </c>
      <c r="M147" s="4"/>
      <c r="N147" s="4"/>
      <c r="O147" s="4"/>
      <c r="P147" s="4"/>
    </row>
    <row r="148" spans="1:16" ht="96" x14ac:dyDescent="0.25">
      <c r="A148" s="3">
        <v>115</v>
      </c>
      <c r="B148" s="4" t="s">
        <v>18</v>
      </c>
      <c r="C148" s="4" t="s">
        <v>184</v>
      </c>
      <c r="D148" s="4" t="s">
        <v>101</v>
      </c>
      <c r="E148" s="4" t="s">
        <v>97</v>
      </c>
      <c r="F148" s="4" t="s">
        <v>22</v>
      </c>
      <c r="G148" s="4" t="s">
        <v>23</v>
      </c>
      <c r="H148" s="4" t="s">
        <v>24</v>
      </c>
      <c r="I148" s="4" t="s">
        <v>276</v>
      </c>
      <c r="J148" s="4" t="s">
        <v>277</v>
      </c>
      <c r="K148" s="4"/>
      <c r="L148" s="43" t="s">
        <v>808</v>
      </c>
      <c r="M148" s="4"/>
      <c r="N148" s="4"/>
      <c r="O148" s="4"/>
      <c r="P148" s="4"/>
    </row>
    <row r="149" spans="1:16" x14ac:dyDescent="0.25">
      <c r="A149" s="46" t="s">
        <v>278</v>
      </c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</row>
    <row r="150" spans="1:16" ht="120" x14ac:dyDescent="0.25">
      <c r="A150" s="3">
        <v>116</v>
      </c>
      <c r="B150" s="4" t="s">
        <v>18</v>
      </c>
      <c r="C150" s="4" t="s">
        <v>188</v>
      </c>
      <c r="D150" s="4" t="s">
        <v>106</v>
      </c>
      <c r="E150" s="4" t="s">
        <v>107</v>
      </c>
      <c r="F150" s="4" t="s">
        <v>22</v>
      </c>
      <c r="G150" s="4" t="s">
        <v>23</v>
      </c>
      <c r="H150" s="4" t="s">
        <v>24</v>
      </c>
      <c r="I150" s="4" t="s">
        <v>279</v>
      </c>
      <c r="J150" s="4" t="s">
        <v>245</v>
      </c>
      <c r="K150" s="4"/>
      <c r="L150" s="43" t="s">
        <v>808</v>
      </c>
      <c r="M150" s="4"/>
      <c r="N150" s="4"/>
      <c r="O150" s="4"/>
      <c r="P150" s="4"/>
    </row>
    <row r="151" spans="1:16" ht="84" x14ac:dyDescent="0.25">
      <c r="A151" s="3">
        <v>117</v>
      </c>
      <c r="B151" s="4" t="s">
        <v>18</v>
      </c>
      <c r="C151" s="4" t="s">
        <v>190</v>
      </c>
      <c r="D151" s="4" t="s">
        <v>115</v>
      </c>
      <c r="E151" s="4" t="s">
        <v>107</v>
      </c>
      <c r="F151" s="4" t="s">
        <v>22</v>
      </c>
      <c r="G151" s="4" t="s">
        <v>23</v>
      </c>
      <c r="H151" s="4" t="s">
        <v>24</v>
      </c>
      <c r="I151" s="4" t="s">
        <v>193</v>
      </c>
      <c r="J151" s="4" t="s">
        <v>42</v>
      </c>
      <c r="K151" s="4"/>
      <c r="L151" s="43" t="s">
        <v>808</v>
      </c>
      <c r="M151" s="4"/>
      <c r="N151" s="4"/>
      <c r="O151" s="4"/>
      <c r="P151" s="4"/>
    </row>
    <row r="152" spans="1:16" ht="132" x14ac:dyDescent="0.25">
      <c r="A152" s="3">
        <v>118</v>
      </c>
      <c r="B152" s="4" t="s">
        <v>18</v>
      </c>
      <c r="C152" s="4" t="s">
        <v>192</v>
      </c>
      <c r="D152" s="4" t="s">
        <v>111</v>
      </c>
      <c r="E152" s="4" t="s">
        <v>107</v>
      </c>
      <c r="F152" s="4" t="s">
        <v>22</v>
      </c>
      <c r="G152" s="4" t="s">
        <v>23</v>
      </c>
      <c r="H152" s="4" t="s">
        <v>24</v>
      </c>
      <c r="I152" s="4" t="s">
        <v>280</v>
      </c>
      <c r="J152" s="4" t="s">
        <v>219</v>
      </c>
      <c r="K152" s="4"/>
      <c r="L152" s="43" t="s">
        <v>808</v>
      </c>
      <c r="M152" s="4"/>
      <c r="N152" s="4"/>
      <c r="O152" s="4"/>
      <c r="P152" s="4"/>
    </row>
    <row r="153" spans="1:16" x14ac:dyDescent="0.25">
      <c r="A153" s="46" t="s">
        <v>281</v>
      </c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</row>
    <row r="154" spans="1:16" ht="72" x14ac:dyDescent="0.25">
      <c r="A154" s="3">
        <v>119</v>
      </c>
      <c r="B154" s="4" t="s">
        <v>18</v>
      </c>
      <c r="C154" s="4" t="s">
        <v>195</v>
      </c>
      <c r="D154" s="4" t="s">
        <v>119</v>
      </c>
      <c r="E154" s="4" t="s">
        <v>21</v>
      </c>
      <c r="F154" s="4" t="s">
        <v>22</v>
      </c>
      <c r="G154" s="4" t="s">
        <v>23</v>
      </c>
      <c r="H154" s="4" t="s">
        <v>24</v>
      </c>
      <c r="I154" s="4" t="s">
        <v>248</v>
      </c>
      <c r="J154" s="4" t="s">
        <v>249</v>
      </c>
      <c r="K154" s="4"/>
      <c r="L154" s="43" t="s">
        <v>808</v>
      </c>
      <c r="M154" s="4"/>
      <c r="N154" s="4"/>
      <c r="O154" s="4"/>
      <c r="P154" s="4"/>
    </row>
    <row r="155" spans="1:16" ht="72" x14ac:dyDescent="0.25">
      <c r="A155" s="3">
        <v>120</v>
      </c>
      <c r="B155" s="4" t="s">
        <v>18</v>
      </c>
      <c r="C155" s="4" t="s">
        <v>198</v>
      </c>
      <c r="D155" s="4" t="s">
        <v>123</v>
      </c>
      <c r="E155" s="4" t="s">
        <v>21</v>
      </c>
      <c r="F155" s="4" t="s">
        <v>22</v>
      </c>
      <c r="G155" s="4" t="s">
        <v>23</v>
      </c>
      <c r="H155" s="4" t="s">
        <v>24</v>
      </c>
      <c r="I155" s="4" t="s">
        <v>250</v>
      </c>
      <c r="J155" s="4" t="s">
        <v>251</v>
      </c>
      <c r="K155" s="4"/>
      <c r="L155" s="43" t="s">
        <v>808</v>
      </c>
      <c r="M155" s="4"/>
      <c r="N155" s="4"/>
      <c r="O155" s="4"/>
      <c r="P155" s="4"/>
    </row>
    <row r="156" spans="1:16" x14ac:dyDescent="0.25">
      <c r="A156" s="46" t="s">
        <v>282</v>
      </c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</row>
    <row r="157" spans="1:16" ht="60" x14ac:dyDescent="0.25">
      <c r="A157" s="3">
        <v>121</v>
      </c>
      <c r="B157" s="4" t="s">
        <v>18</v>
      </c>
      <c r="C157" s="4" t="s">
        <v>202</v>
      </c>
      <c r="D157" s="4" t="s">
        <v>128</v>
      </c>
      <c r="E157" s="4" t="s">
        <v>97</v>
      </c>
      <c r="F157" s="4" t="s">
        <v>22</v>
      </c>
      <c r="G157" s="4" t="s">
        <v>23</v>
      </c>
      <c r="H157" s="4" t="s">
        <v>24</v>
      </c>
      <c r="I157" s="4" t="s">
        <v>283</v>
      </c>
      <c r="J157" s="4" t="s">
        <v>254</v>
      </c>
      <c r="K157" s="4"/>
      <c r="L157" s="43" t="s">
        <v>808</v>
      </c>
      <c r="M157" s="4"/>
      <c r="N157" s="4"/>
      <c r="O157" s="4"/>
      <c r="P157" s="4"/>
    </row>
    <row r="158" spans="1:16" ht="60" x14ac:dyDescent="0.25">
      <c r="A158" s="3">
        <v>122</v>
      </c>
      <c r="B158" s="4" t="s">
        <v>18</v>
      </c>
      <c r="C158" s="4" t="s">
        <v>204</v>
      </c>
      <c r="D158" s="4" t="s">
        <v>132</v>
      </c>
      <c r="E158" s="4" t="s">
        <v>97</v>
      </c>
      <c r="F158" s="4" t="s">
        <v>22</v>
      </c>
      <c r="G158" s="4" t="s">
        <v>23</v>
      </c>
      <c r="H158" s="4" t="s">
        <v>24</v>
      </c>
      <c r="I158" s="4" t="s">
        <v>284</v>
      </c>
      <c r="J158" s="4" t="s">
        <v>254</v>
      </c>
      <c r="K158" s="4"/>
      <c r="L158" s="43" t="s">
        <v>808</v>
      </c>
      <c r="M158" s="4"/>
      <c r="N158" s="4"/>
      <c r="O158" s="4"/>
      <c r="P158" s="4"/>
    </row>
    <row r="159" spans="1:16" x14ac:dyDescent="0.25">
      <c r="A159" s="46" t="s">
        <v>285</v>
      </c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</row>
    <row r="160" spans="1:16" ht="60" x14ac:dyDescent="0.25">
      <c r="A160" s="3">
        <v>123</v>
      </c>
      <c r="B160" s="4" t="s">
        <v>18</v>
      </c>
      <c r="C160" s="4" t="s">
        <v>207</v>
      </c>
      <c r="D160" s="4" t="s">
        <v>136</v>
      </c>
      <c r="E160" s="4" t="s">
        <v>21</v>
      </c>
      <c r="F160" s="4" t="s">
        <v>22</v>
      </c>
      <c r="G160" s="4" t="s">
        <v>23</v>
      </c>
      <c r="H160" s="4" t="s">
        <v>24</v>
      </c>
      <c r="I160" s="4" t="s">
        <v>286</v>
      </c>
      <c r="J160" s="4" t="s">
        <v>254</v>
      </c>
      <c r="K160" s="4"/>
      <c r="L160" s="43" t="s">
        <v>808</v>
      </c>
      <c r="M160" s="4"/>
      <c r="N160" s="4"/>
      <c r="O160" s="4"/>
      <c r="P160" s="4"/>
    </row>
    <row r="161" spans="1:16" ht="60" x14ac:dyDescent="0.25">
      <c r="A161" s="3">
        <v>124</v>
      </c>
      <c r="B161" s="4" t="s">
        <v>18</v>
      </c>
      <c r="C161" s="4" t="s">
        <v>209</v>
      </c>
      <c r="D161" s="4" t="s">
        <v>139</v>
      </c>
      <c r="E161" s="4" t="s">
        <v>21</v>
      </c>
      <c r="F161" s="4" t="s">
        <v>22</v>
      </c>
      <c r="G161" s="4" t="s">
        <v>23</v>
      </c>
      <c r="H161" s="4" t="s">
        <v>24</v>
      </c>
      <c r="I161" s="4" t="s">
        <v>287</v>
      </c>
      <c r="J161" s="4" t="s">
        <v>82</v>
      </c>
      <c r="K161" s="4"/>
      <c r="L161" s="43" t="s">
        <v>808</v>
      </c>
      <c r="M161" s="4"/>
      <c r="N161" s="4"/>
      <c r="O161" s="4"/>
      <c r="P161" s="4"/>
    </row>
    <row r="162" spans="1:16" ht="96" x14ac:dyDescent="0.25">
      <c r="A162" s="3">
        <v>125</v>
      </c>
      <c r="B162" s="4" t="s">
        <v>18</v>
      </c>
      <c r="C162" s="4" t="s">
        <v>211</v>
      </c>
      <c r="D162" s="4" t="s">
        <v>143</v>
      </c>
      <c r="E162" s="4" t="s">
        <v>21</v>
      </c>
      <c r="F162" s="4" t="s">
        <v>22</v>
      </c>
      <c r="G162" s="4" t="s">
        <v>23</v>
      </c>
      <c r="H162" s="4" t="s">
        <v>24</v>
      </c>
      <c r="I162" s="4" t="s">
        <v>263</v>
      </c>
      <c r="J162" s="4" t="s">
        <v>228</v>
      </c>
      <c r="K162" s="4"/>
      <c r="L162" s="43" t="s">
        <v>808</v>
      </c>
      <c r="M162" s="4"/>
      <c r="N162" s="4"/>
      <c r="O162" s="4"/>
      <c r="P162" s="4"/>
    </row>
  </sheetData>
  <mergeCells count="44">
    <mergeCell ref="M2:M3"/>
    <mergeCell ref="B2:B3"/>
    <mergeCell ref="A4:P4"/>
    <mergeCell ref="H2:H3"/>
    <mergeCell ref="A81:P81"/>
    <mergeCell ref="A44:P44"/>
    <mergeCell ref="A40:P40"/>
    <mergeCell ref="A34:P34"/>
    <mergeCell ref="A37:P37"/>
    <mergeCell ref="A27:P27"/>
    <mergeCell ref="A5:P5"/>
    <mergeCell ref="A129:P129"/>
    <mergeCell ref="A159:P159"/>
    <mergeCell ref="A109:P109"/>
    <mergeCell ref="A156:P156"/>
    <mergeCell ref="A121:P121"/>
    <mergeCell ref="A111:P111"/>
    <mergeCell ref="A114:P114"/>
    <mergeCell ref="A146:P146"/>
    <mergeCell ref="A78:P78"/>
    <mergeCell ref="A124:P124"/>
    <mergeCell ref="A153:P153"/>
    <mergeCell ref="A128:P128"/>
    <mergeCell ref="A99:P99"/>
    <mergeCell ref="A84:P84"/>
    <mergeCell ref="A89:P89"/>
    <mergeCell ref="A118:P118"/>
    <mergeCell ref="A149:P149"/>
    <mergeCell ref="A74:P74"/>
    <mergeCell ref="A139:P139"/>
    <mergeCell ref="C2:F2"/>
    <mergeCell ref="G2:G3"/>
    <mergeCell ref="I2:I3"/>
    <mergeCell ref="A71:P71"/>
    <mergeCell ref="A88:P88"/>
    <mergeCell ref="A2:A3"/>
    <mergeCell ref="A30:P30"/>
    <mergeCell ref="A15:P15"/>
    <mergeCell ref="A64:P64"/>
    <mergeCell ref="K2:K3"/>
    <mergeCell ref="A45:P45"/>
    <mergeCell ref="A25:P25"/>
    <mergeCell ref="J2:J3"/>
    <mergeCell ref="L2:L3"/>
  </mergeCells>
  <phoneticPr fontId="4" type="noConversion"/>
  <conditionalFormatting sqref="L6:L14">
    <cfRule type="cellIs" dxfId="156" priority="77" operator="equal">
      <formula>"Fail"</formula>
    </cfRule>
  </conditionalFormatting>
  <conditionalFormatting sqref="L17 L20 L23">
    <cfRule type="cellIs" dxfId="155" priority="76" operator="equal">
      <formula>"Fail"</formula>
    </cfRule>
  </conditionalFormatting>
  <conditionalFormatting sqref="L36">
    <cfRule type="cellIs" dxfId="154" priority="36" operator="equal">
      <formula>"Fail"</formula>
    </cfRule>
  </conditionalFormatting>
  <conditionalFormatting sqref="L38:L39">
    <cfRule type="cellIs" dxfId="152" priority="35" operator="equal">
      <formula>"Fail"</formula>
    </cfRule>
  </conditionalFormatting>
  <conditionalFormatting sqref="L35">
    <cfRule type="cellIs" dxfId="150" priority="71" operator="equal">
      <formula>"Fail"</formula>
    </cfRule>
  </conditionalFormatting>
  <conditionalFormatting sqref="L41:L43">
    <cfRule type="cellIs" dxfId="149" priority="34" operator="equal">
      <formula>"Fail"</formula>
    </cfRule>
  </conditionalFormatting>
  <conditionalFormatting sqref="L31:L33">
    <cfRule type="cellIs" dxfId="144" priority="37" operator="equal">
      <formula>"Fail"</formula>
    </cfRule>
  </conditionalFormatting>
  <conditionalFormatting sqref="L91">
    <cfRule type="cellIs" dxfId="139" priority="60" operator="equal">
      <formula>"Fail"</formula>
    </cfRule>
  </conditionalFormatting>
  <conditionalFormatting sqref="L101">
    <cfRule type="cellIs" dxfId="138" priority="59" operator="equal">
      <formula>"Fail"</formula>
    </cfRule>
  </conditionalFormatting>
  <conditionalFormatting sqref="L16">
    <cfRule type="cellIs" dxfId="137" priority="44" operator="equal">
      <formula>"Fail"</formula>
    </cfRule>
  </conditionalFormatting>
  <conditionalFormatting sqref="L18">
    <cfRule type="cellIs" dxfId="135" priority="43" operator="equal">
      <formula>"Fail"</formula>
    </cfRule>
  </conditionalFormatting>
  <conditionalFormatting sqref="L19">
    <cfRule type="cellIs" dxfId="121" priority="42" operator="equal">
      <formula>"Fail"</formula>
    </cfRule>
  </conditionalFormatting>
  <conditionalFormatting sqref="L21:L22">
    <cfRule type="cellIs" dxfId="120" priority="41" operator="equal">
      <formula>"Fail"</formula>
    </cfRule>
  </conditionalFormatting>
  <conditionalFormatting sqref="L24">
    <cfRule type="cellIs" dxfId="119" priority="40" operator="equal">
      <formula>"Fail"</formula>
    </cfRule>
  </conditionalFormatting>
  <conditionalFormatting sqref="L26">
    <cfRule type="cellIs" dxfId="118" priority="39" operator="equal">
      <formula>"Fail"</formula>
    </cfRule>
  </conditionalFormatting>
  <conditionalFormatting sqref="L28:L29">
    <cfRule type="cellIs" dxfId="117" priority="38" operator="equal">
      <formula>"Fail"</formula>
    </cfRule>
  </conditionalFormatting>
  <conditionalFormatting sqref="L46:L63">
    <cfRule type="cellIs" dxfId="112" priority="33" operator="equal">
      <formula>"Fail"</formula>
    </cfRule>
  </conditionalFormatting>
  <conditionalFormatting sqref="L65:L66">
    <cfRule type="cellIs" dxfId="111" priority="32" operator="equal">
      <formula>"Fail"</formula>
    </cfRule>
  </conditionalFormatting>
  <conditionalFormatting sqref="L67:L68">
    <cfRule type="cellIs" dxfId="110" priority="31" operator="equal">
      <formula>"Fail"</formula>
    </cfRule>
  </conditionalFormatting>
  <conditionalFormatting sqref="L69:L70">
    <cfRule type="cellIs" dxfId="109" priority="30" operator="equal">
      <formula>"Fail"</formula>
    </cfRule>
  </conditionalFormatting>
  <conditionalFormatting sqref="L72">
    <cfRule type="cellIs" dxfId="108" priority="29" operator="equal">
      <formula>"Fail"</formula>
    </cfRule>
  </conditionalFormatting>
  <conditionalFormatting sqref="L73">
    <cfRule type="cellIs" dxfId="107" priority="28" operator="equal">
      <formula>"Fail"</formula>
    </cfRule>
  </conditionalFormatting>
  <conditionalFormatting sqref="L75:L77">
    <cfRule type="cellIs" dxfId="106" priority="27" operator="equal">
      <formula>"Fail"</formula>
    </cfRule>
  </conditionalFormatting>
  <conditionalFormatting sqref="L79:L80">
    <cfRule type="cellIs" dxfId="105" priority="26" operator="equal">
      <formula>"Fail"</formula>
    </cfRule>
  </conditionalFormatting>
  <conditionalFormatting sqref="L82:L83">
    <cfRule type="cellIs" dxfId="104" priority="25" operator="equal">
      <formula>"Fail"</formula>
    </cfRule>
  </conditionalFormatting>
  <conditionalFormatting sqref="L85:L87">
    <cfRule type="cellIs" dxfId="103" priority="24" operator="equal">
      <formula>"Fail"</formula>
    </cfRule>
  </conditionalFormatting>
  <conditionalFormatting sqref="L90">
    <cfRule type="cellIs" dxfId="102" priority="23" operator="equal">
      <formula>"Fail"</formula>
    </cfRule>
  </conditionalFormatting>
  <conditionalFormatting sqref="L92">
    <cfRule type="cellIs" dxfId="101" priority="22" operator="equal">
      <formula>"Fail"</formula>
    </cfRule>
  </conditionalFormatting>
  <conditionalFormatting sqref="L93">
    <cfRule type="cellIs" dxfId="100" priority="21" operator="equal">
      <formula>"Fail"</formula>
    </cfRule>
  </conditionalFormatting>
  <conditionalFormatting sqref="L94:L97">
    <cfRule type="cellIs" dxfId="99" priority="20" operator="equal">
      <formula>"Fail"</formula>
    </cfRule>
  </conditionalFormatting>
  <conditionalFormatting sqref="L98">
    <cfRule type="cellIs" dxfId="98" priority="19" operator="equal">
      <formula>"Fail"</formula>
    </cfRule>
  </conditionalFormatting>
  <conditionalFormatting sqref="L100">
    <cfRule type="cellIs" dxfId="97" priority="18" operator="equal">
      <formula>"Fail"</formula>
    </cfRule>
  </conditionalFormatting>
  <conditionalFormatting sqref="L102">
    <cfRule type="cellIs" dxfId="96" priority="17" operator="equal">
      <formula>"Fail"</formula>
    </cfRule>
  </conditionalFormatting>
  <conditionalFormatting sqref="L103:L106">
    <cfRule type="cellIs" dxfId="95" priority="16" operator="equal">
      <formula>"Fail"</formula>
    </cfRule>
  </conditionalFormatting>
  <conditionalFormatting sqref="L107:L108">
    <cfRule type="cellIs" dxfId="94" priority="15" operator="equal">
      <formula>"Fail"</formula>
    </cfRule>
  </conditionalFormatting>
  <conditionalFormatting sqref="L110">
    <cfRule type="cellIs" dxfId="93" priority="14" operator="equal">
      <formula>"Fail"</formula>
    </cfRule>
  </conditionalFormatting>
  <conditionalFormatting sqref="L112:L113">
    <cfRule type="cellIs" dxfId="92" priority="13" operator="equal">
      <formula>"Fail"</formula>
    </cfRule>
  </conditionalFormatting>
  <conditionalFormatting sqref="L115:L117">
    <cfRule type="cellIs" dxfId="91" priority="12" operator="equal">
      <formula>"Fail"</formula>
    </cfRule>
  </conditionalFormatting>
  <conditionalFormatting sqref="L119:L120">
    <cfRule type="cellIs" dxfId="90" priority="11" operator="equal">
      <formula>"Fail"</formula>
    </cfRule>
  </conditionalFormatting>
  <conditionalFormatting sqref="L122:L123">
    <cfRule type="cellIs" dxfId="89" priority="10" operator="equal">
      <formula>"Fail"</formula>
    </cfRule>
  </conditionalFormatting>
  <conditionalFormatting sqref="L125:L127">
    <cfRule type="cellIs" dxfId="88" priority="9" operator="equal">
      <formula>"Fail"</formula>
    </cfRule>
  </conditionalFormatting>
  <conditionalFormatting sqref="L130:L138">
    <cfRule type="cellIs" dxfId="87" priority="8" operator="equal">
      <formula>"Fail"</formula>
    </cfRule>
  </conditionalFormatting>
  <conditionalFormatting sqref="L140:L145">
    <cfRule type="cellIs" dxfId="86" priority="7" operator="equal">
      <formula>"Fail"</formula>
    </cfRule>
  </conditionalFormatting>
  <conditionalFormatting sqref="L147:L148">
    <cfRule type="cellIs" dxfId="85" priority="6" operator="equal">
      <formula>"Fail"</formula>
    </cfRule>
  </conditionalFormatting>
  <conditionalFormatting sqref="L150">
    <cfRule type="cellIs" dxfId="84" priority="5" operator="equal">
      <formula>"Fail"</formula>
    </cfRule>
  </conditionalFormatting>
  <conditionalFormatting sqref="L151:L152">
    <cfRule type="cellIs" dxfId="83" priority="4" operator="equal">
      <formula>"Fail"</formula>
    </cfRule>
  </conditionalFormatting>
  <conditionalFormatting sqref="L154:L155">
    <cfRule type="cellIs" dxfId="82" priority="3" operator="equal">
      <formula>"Fail"</formula>
    </cfRule>
  </conditionalFormatting>
  <conditionalFormatting sqref="L157:L158">
    <cfRule type="cellIs" dxfId="81" priority="2" operator="equal">
      <formula>"Fail"</formula>
    </cfRule>
  </conditionalFormatting>
  <conditionalFormatting sqref="L160:L162">
    <cfRule type="cellIs" dxfId="80" priority="1" operator="equal">
      <formula>"Fail"</formula>
    </cfRule>
  </conditionalFormatting>
  <dataValidations count="1">
    <dataValidation type="list" allowBlank="1" showInputMessage="1" showErrorMessage="1" sqref="L157:L158 L6:L14 L16:L24 L26 L28:L29 L31:L33 L35:L36 L38:L39 L41:L43 L46:L63 L65:L70 L72:L73 L75:L77 L79:L80 L82:L83 L85:L87 L90:L98 L100:L108 L110 L112:L113 L115:L117 L119:L120 L122:L123 L125:L127 L130:L138 L140:L145 L147:L148 L150:L152 L154:L155 L160:L162">
      <formula1>"Pass,Fail,Not Apply,Block,Skip"</formula1>
    </dataValidation>
  </dataValidations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3"/>
  <sheetViews>
    <sheetView topLeftCell="A34" workbookViewId="0">
      <selection activeCell="I14" sqref="I14"/>
    </sheetView>
  </sheetViews>
  <sheetFormatPr defaultRowHeight="14.4" x14ac:dyDescent="0.25"/>
  <cols>
    <col min="1" max="1" width="12" customWidth="1"/>
    <col min="2" max="3" width="18" customWidth="1"/>
    <col min="4" max="4" width="32.21875" customWidth="1"/>
    <col min="5" max="5" width="8" customWidth="1"/>
    <col min="6" max="6" width="10" customWidth="1"/>
    <col min="7" max="7" width="16" customWidth="1"/>
    <col min="8" max="8" width="14" customWidth="1"/>
    <col min="9" max="10" width="50" customWidth="1"/>
    <col min="11" max="11" width="12" customWidth="1"/>
    <col min="12" max="12" width="10" customWidth="1"/>
    <col min="13" max="13" width="12" customWidth="1"/>
    <col min="14" max="16" width="10" customWidth="1"/>
  </cols>
  <sheetData>
    <row r="1" spans="1:16" x14ac:dyDescent="0.25">
      <c r="B1" s="1" t="s">
        <v>0</v>
      </c>
      <c r="C1" s="1" t="s">
        <v>1</v>
      </c>
    </row>
    <row r="2" spans="1:16" x14ac:dyDescent="0.25">
      <c r="A2" s="48" t="s">
        <v>2</v>
      </c>
      <c r="B2" s="50" t="s">
        <v>3</v>
      </c>
      <c r="C2" s="48" t="s">
        <v>4</v>
      </c>
      <c r="D2" s="47"/>
      <c r="E2" s="47"/>
      <c r="F2" s="49"/>
      <c r="G2" s="50" t="s">
        <v>5</v>
      </c>
      <c r="H2" s="50" t="s">
        <v>6</v>
      </c>
      <c r="I2" s="50" t="s">
        <v>7</v>
      </c>
      <c r="J2" s="50" t="s">
        <v>8</v>
      </c>
      <c r="K2" s="50" t="s">
        <v>9</v>
      </c>
      <c r="L2" s="50" t="s">
        <v>10</v>
      </c>
      <c r="M2" s="50" t="s">
        <v>11</v>
      </c>
    </row>
    <row r="3" spans="1:16" x14ac:dyDescent="0.25">
      <c r="A3" s="49"/>
      <c r="B3" s="49"/>
      <c r="C3" s="2" t="s">
        <v>12</v>
      </c>
      <c r="D3" s="2" t="s">
        <v>13</v>
      </c>
      <c r="E3" s="2" t="s">
        <v>14</v>
      </c>
      <c r="F3" s="2" t="s">
        <v>15</v>
      </c>
      <c r="G3" s="49"/>
      <c r="H3" s="49"/>
      <c r="I3" s="49"/>
      <c r="J3" s="49"/>
      <c r="K3" s="49"/>
      <c r="L3" s="49"/>
      <c r="M3" s="49"/>
    </row>
    <row r="4" spans="1:16" x14ac:dyDescent="0.25">
      <c r="A4" s="46" t="s">
        <v>288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</row>
    <row r="5" spans="1:16" x14ac:dyDescent="0.25">
      <c r="A5" s="46" t="s">
        <v>17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</row>
    <row r="6" spans="1:16" ht="42" customHeight="1" x14ac:dyDescent="0.25">
      <c r="A6" s="3">
        <v>1</v>
      </c>
      <c r="B6" s="4" t="s">
        <v>18</v>
      </c>
      <c r="C6" s="4" t="s">
        <v>289</v>
      </c>
      <c r="D6" s="4" t="s">
        <v>290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291</v>
      </c>
      <c r="J6" s="4" t="s">
        <v>109</v>
      </c>
      <c r="K6" s="59" t="s">
        <v>809</v>
      </c>
      <c r="L6" s="43" t="s">
        <v>803</v>
      </c>
      <c r="M6" s="4"/>
      <c r="N6" s="4"/>
      <c r="O6" s="4"/>
      <c r="P6" s="4"/>
    </row>
    <row r="7" spans="1:16" ht="84" x14ac:dyDescent="0.25">
      <c r="A7" s="3">
        <v>2</v>
      </c>
      <c r="B7" s="4" t="s">
        <v>18</v>
      </c>
      <c r="C7" s="4" t="s">
        <v>292</v>
      </c>
      <c r="D7" s="4" t="s">
        <v>293</v>
      </c>
      <c r="E7" s="4" t="s">
        <v>21</v>
      </c>
      <c r="F7" s="4" t="s">
        <v>22</v>
      </c>
      <c r="G7" s="4" t="s">
        <v>23</v>
      </c>
      <c r="H7" s="4" t="s">
        <v>24</v>
      </c>
      <c r="I7" s="4" t="s">
        <v>294</v>
      </c>
      <c r="J7" s="4" t="s">
        <v>295</v>
      </c>
      <c r="K7" s="4"/>
      <c r="L7" s="43" t="s">
        <v>808</v>
      </c>
      <c r="M7" s="4"/>
      <c r="N7" s="4"/>
      <c r="O7" s="4"/>
      <c r="P7" s="4"/>
    </row>
    <row r="8" spans="1:16" ht="60" x14ac:dyDescent="0.25">
      <c r="A8" s="3">
        <v>3</v>
      </c>
      <c r="B8" s="4" t="s">
        <v>18</v>
      </c>
      <c r="C8" s="4" t="s">
        <v>296</v>
      </c>
      <c r="D8" s="4" t="s">
        <v>297</v>
      </c>
      <c r="E8" s="4" t="s">
        <v>21</v>
      </c>
      <c r="F8" s="4" t="s">
        <v>22</v>
      </c>
      <c r="G8" s="4" t="s">
        <v>23</v>
      </c>
      <c r="H8" s="4" t="s">
        <v>24</v>
      </c>
      <c r="I8" s="4" t="s">
        <v>298</v>
      </c>
      <c r="J8" s="4" t="s">
        <v>299</v>
      </c>
      <c r="K8" s="4"/>
      <c r="L8" s="43" t="s">
        <v>808</v>
      </c>
      <c r="M8" s="4"/>
      <c r="N8" s="4"/>
      <c r="O8" s="4"/>
      <c r="P8" s="4"/>
    </row>
    <row r="9" spans="1:16" x14ac:dyDescent="0.25">
      <c r="A9" s="46" t="s">
        <v>59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</row>
    <row r="10" spans="1:16" ht="72" x14ac:dyDescent="0.25">
      <c r="A10" s="3">
        <v>4</v>
      </c>
      <c r="B10" s="4" t="s">
        <v>18</v>
      </c>
      <c r="C10" s="4" t="s">
        <v>300</v>
      </c>
      <c r="D10" s="4" t="s">
        <v>301</v>
      </c>
      <c r="E10" s="4" t="s">
        <v>21</v>
      </c>
      <c r="F10" s="4" t="s">
        <v>22</v>
      </c>
      <c r="G10" s="4" t="s">
        <v>23</v>
      </c>
      <c r="H10" s="4" t="s">
        <v>24</v>
      </c>
      <c r="I10" s="4" t="s">
        <v>302</v>
      </c>
      <c r="J10" s="4" t="s">
        <v>303</v>
      </c>
      <c r="K10" s="4"/>
      <c r="L10" s="43" t="s">
        <v>808</v>
      </c>
      <c r="M10" s="4"/>
      <c r="N10" s="4"/>
      <c r="O10" s="4"/>
      <c r="P10" s="4"/>
    </row>
    <row r="11" spans="1:16" ht="48" x14ac:dyDescent="0.25">
      <c r="A11" s="3">
        <v>5</v>
      </c>
      <c r="B11" s="4" t="s">
        <v>18</v>
      </c>
      <c r="C11" s="4" t="s">
        <v>304</v>
      </c>
      <c r="D11" s="4" t="s">
        <v>305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306</v>
      </c>
      <c r="J11" s="4" t="s">
        <v>307</v>
      </c>
      <c r="K11" s="4"/>
      <c r="L11" s="43" t="s">
        <v>808</v>
      </c>
      <c r="M11" s="4"/>
      <c r="N11" s="4"/>
      <c r="O11" s="4"/>
      <c r="P11" s="4"/>
    </row>
    <row r="12" spans="1:16" ht="36" x14ac:dyDescent="0.25">
      <c r="A12" s="3">
        <v>6</v>
      </c>
      <c r="B12" s="4" t="s">
        <v>18</v>
      </c>
      <c r="C12" s="4" t="s">
        <v>308</v>
      </c>
      <c r="D12" s="4" t="s">
        <v>309</v>
      </c>
      <c r="E12" s="4" t="s">
        <v>21</v>
      </c>
      <c r="F12" s="4" t="s">
        <v>22</v>
      </c>
      <c r="G12" s="4" t="s">
        <v>23</v>
      </c>
      <c r="H12" s="4" t="s">
        <v>24</v>
      </c>
      <c r="I12" s="4" t="s">
        <v>310</v>
      </c>
      <c r="J12" s="4" t="s">
        <v>311</v>
      </c>
      <c r="K12" s="4"/>
      <c r="L12" s="43" t="s">
        <v>808</v>
      </c>
      <c r="M12" s="4"/>
      <c r="N12" s="4"/>
      <c r="O12" s="4"/>
      <c r="P12" s="4"/>
    </row>
    <row r="13" spans="1:16" x14ac:dyDescent="0.25">
      <c r="A13" s="46" t="s">
        <v>89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</row>
    <row r="14" spans="1:16" ht="96" x14ac:dyDescent="0.25">
      <c r="A14" s="3">
        <v>7</v>
      </c>
      <c r="B14" s="4" t="s">
        <v>18</v>
      </c>
      <c r="C14" s="4" t="s">
        <v>312</v>
      </c>
      <c r="D14" s="4" t="s">
        <v>313</v>
      </c>
      <c r="E14" s="4" t="s">
        <v>21</v>
      </c>
      <c r="F14" s="4" t="s">
        <v>22</v>
      </c>
      <c r="G14" s="4" t="s">
        <v>23</v>
      </c>
      <c r="H14" s="4" t="s">
        <v>24</v>
      </c>
      <c r="I14" s="59" t="s">
        <v>811</v>
      </c>
      <c r="J14" s="4" t="s">
        <v>314</v>
      </c>
      <c r="K14" s="4"/>
      <c r="L14" s="43" t="s">
        <v>808</v>
      </c>
      <c r="M14" s="4"/>
      <c r="N14" s="4"/>
      <c r="O14" s="4"/>
      <c r="P14" s="4"/>
    </row>
    <row r="15" spans="1:16" x14ac:dyDescent="0.25">
      <c r="A15" s="46" t="s">
        <v>315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</row>
    <row r="16" spans="1:16" ht="72" x14ac:dyDescent="0.25">
      <c r="A16" s="3">
        <v>8</v>
      </c>
      <c r="B16" s="4" t="s">
        <v>18</v>
      </c>
      <c r="C16" s="4" t="s">
        <v>316</v>
      </c>
      <c r="D16" s="4" t="s">
        <v>317</v>
      </c>
      <c r="E16" s="4" t="s">
        <v>21</v>
      </c>
      <c r="F16" s="4" t="s">
        <v>22</v>
      </c>
      <c r="G16" s="4" t="s">
        <v>23</v>
      </c>
      <c r="H16" s="4" t="s">
        <v>24</v>
      </c>
      <c r="I16" s="4" t="s">
        <v>318</v>
      </c>
      <c r="J16" s="4" t="s">
        <v>319</v>
      </c>
      <c r="K16" s="59" t="s">
        <v>810</v>
      </c>
      <c r="L16" s="43" t="s">
        <v>803</v>
      </c>
      <c r="M16" s="4"/>
      <c r="N16" s="4"/>
      <c r="O16" s="4"/>
      <c r="P16" s="4"/>
    </row>
    <row r="17" spans="1:16" x14ac:dyDescent="0.25">
      <c r="A17" s="46" t="s">
        <v>320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</row>
    <row r="18" spans="1:16" ht="144" x14ac:dyDescent="0.25">
      <c r="A18" s="3">
        <v>9</v>
      </c>
      <c r="B18" s="4" t="s">
        <v>18</v>
      </c>
      <c r="C18" s="4" t="s">
        <v>321</v>
      </c>
      <c r="D18" s="4" t="s">
        <v>322</v>
      </c>
      <c r="E18" s="4" t="s">
        <v>21</v>
      </c>
      <c r="F18" s="4" t="s">
        <v>22</v>
      </c>
      <c r="G18" s="4" t="s">
        <v>23</v>
      </c>
      <c r="H18" s="4" t="s">
        <v>24</v>
      </c>
      <c r="I18" s="4" t="s">
        <v>323</v>
      </c>
      <c r="J18" s="4" t="s">
        <v>324</v>
      </c>
      <c r="K18" s="59" t="s">
        <v>812</v>
      </c>
      <c r="L18" s="43" t="s">
        <v>803</v>
      </c>
      <c r="M18" s="4"/>
      <c r="N18" s="4"/>
      <c r="O18" s="4"/>
      <c r="P18" s="4"/>
    </row>
    <row r="19" spans="1:16" x14ac:dyDescent="0.25">
      <c r="A19" s="60" t="s">
        <v>813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</row>
    <row r="20" spans="1:16" ht="96.6" customHeight="1" x14ac:dyDescent="0.25">
      <c r="A20" s="3">
        <v>10</v>
      </c>
      <c r="B20" s="4" t="s">
        <v>18</v>
      </c>
      <c r="C20" s="4" t="s">
        <v>326</v>
      </c>
      <c r="D20" s="4" t="s">
        <v>327</v>
      </c>
      <c r="E20" s="4" t="s">
        <v>21</v>
      </c>
      <c r="F20" s="4" t="s">
        <v>22</v>
      </c>
      <c r="G20" s="4" t="s">
        <v>23</v>
      </c>
      <c r="H20" s="4" t="s">
        <v>24</v>
      </c>
      <c r="I20" s="4" t="s">
        <v>328</v>
      </c>
      <c r="J20" s="59" t="s">
        <v>815</v>
      </c>
      <c r="K20" s="61" t="s">
        <v>816</v>
      </c>
      <c r="L20" s="43" t="s">
        <v>803</v>
      </c>
      <c r="M20" s="4"/>
      <c r="N20" s="4"/>
      <c r="O20" s="4"/>
      <c r="P20" s="4"/>
    </row>
    <row r="21" spans="1:16" x14ac:dyDescent="0.25">
      <c r="A21" s="46" t="s">
        <v>104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</row>
    <row r="22" spans="1:16" ht="60" customHeight="1" x14ac:dyDescent="0.25">
      <c r="A22" s="3">
        <v>11</v>
      </c>
      <c r="B22" s="4" t="s">
        <v>18</v>
      </c>
      <c r="C22" s="4" t="s">
        <v>329</v>
      </c>
      <c r="D22" s="4" t="s">
        <v>106</v>
      </c>
      <c r="E22" s="4" t="s">
        <v>107</v>
      </c>
      <c r="F22" s="4" t="s">
        <v>22</v>
      </c>
      <c r="G22" s="4" t="s">
        <v>23</v>
      </c>
      <c r="H22" s="4" t="s">
        <v>24</v>
      </c>
      <c r="I22" s="4" t="s">
        <v>330</v>
      </c>
      <c r="J22" s="59" t="s">
        <v>814</v>
      </c>
      <c r="K22" s="4"/>
      <c r="L22" s="43" t="s">
        <v>808</v>
      </c>
      <c r="M22" s="4"/>
      <c r="N22" s="4"/>
      <c r="O22" s="4"/>
      <c r="P22" s="4"/>
    </row>
    <row r="23" spans="1:16" ht="109.2" customHeight="1" x14ac:dyDescent="0.25">
      <c r="A23" s="3">
        <v>12</v>
      </c>
      <c r="B23" s="4" t="s">
        <v>18</v>
      </c>
      <c r="C23" s="4" t="s">
        <v>331</v>
      </c>
      <c r="D23" s="4" t="s">
        <v>115</v>
      </c>
      <c r="E23" s="4" t="s">
        <v>107</v>
      </c>
      <c r="F23" s="4" t="s">
        <v>22</v>
      </c>
      <c r="G23" s="4" t="s">
        <v>23</v>
      </c>
      <c r="H23" s="4" t="s">
        <v>24</v>
      </c>
      <c r="I23" s="4" t="s">
        <v>332</v>
      </c>
      <c r="J23" s="4" t="s">
        <v>333</v>
      </c>
      <c r="K23" s="4"/>
      <c r="L23" s="43" t="s">
        <v>808</v>
      </c>
      <c r="M23" s="4"/>
      <c r="N23" s="4"/>
      <c r="O23" s="4"/>
      <c r="P23" s="4"/>
    </row>
    <row r="24" spans="1:16" ht="72" x14ac:dyDescent="0.25">
      <c r="A24" s="3">
        <v>13</v>
      </c>
      <c r="B24" s="4" t="s">
        <v>18</v>
      </c>
      <c r="C24" s="4" t="s">
        <v>334</v>
      </c>
      <c r="D24" s="4" t="s">
        <v>111</v>
      </c>
      <c r="E24" s="4" t="s">
        <v>107</v>
      </c>
      <c r="F24" s="4" t="s">
        <v>22</v>
      </c>
      <c r="G24" s="4" t="s">
        <v>23</v>
      </c>
      <c r="H24" s="4" t="s">
        <v>24</v>
      </c>
      <c r="I24" s="4" t="s">
        <v>335</v>
      </c>
      <c r="J24" s="4" t="s">
        <v>113</v>
      </c>
      <c r="K24" s="4"/>
      <c r="L24" s="43" t="s">
        <v>808</v>
      </c>
      <c r="M24" s="4"/>
      <c r="N24" s="4"/>
      <c r="O24" s="4"/>
      <c r="P24" s="4"/>
    </row>
    <row r="25" spans="1:16" x14ac:dyDescent="0.25">
      <c r="A25" s="46" t="s">
        <v>336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</row>
    <row r="26" spans="1:16" ht="48" x14ac:dyDescent="0.25">
      <c r="A26" s="3">
        <v>14</v>
      </c>
      <c r="B26" s="4" t="s">
        <v>18</v>
      </c>
      <c r="C26" s="4" t="s">
        <v>337</v>
      </c>
      <c r="D26" s="4" t="s">
        <v>338</v>
      </c>
      <c r="E26" s="4" t="s">
        <v>97</v>
      </c>
      <c r="F26" s="4" t="s">
        <v>22</v>
      </c>
      <c r="G26" s="4" t="s">
        <v>23</v>
      </c>
      <c r="H26" s="4" t="s">
        <v>24</v>
      </c>
      <c r="I26" s="4" t="s">
        <v>339</v>
      </c>
      <c r="J26" s="4" t="s">
        <v>72</v>
      </c>
      <c r="K26" s="4"/>
      <c r="L26" s="43" t="s">
        <v>808</v>
      </c>
      <c r="M26" s="4"/>
      <c r="N26" s="4"/>
      <c r="O26" s="4"/>
      <c r="P26" s="4"/>
    </row>
    <row r="27" spans="1:16" ht="48" x14ac:dyDescent="0.25">
      <c r="A27" s="3">
        <v>15</v>
      </c>
      <c r="B27" s="4" t="s">
        <v>18</v>
      </c>
      <c r="C27" s="4" t="s">
        <v>340</v>
      </c>
      <c r="D27" s="4" t="s">
        <v>341</v>
      </c>
      <c r="E27" s="4" t="s">
        <v>97</v>
      </c>
      <c r="F27" s="4" t="s">
        <v>22</v>
      </c>
      <c r="G27" s="4" t="s">
        <v>23</v>
      </c>
      <c r="H27" s="4" t="s">
        <v>24</v>
      </c>
      <c r="I27" s="4" t="s">
        <v>342</v>
      </c>
      <c r="J27" s="4" t="s">
        <v>299</v>
      </c>
      <c r="K27" s="4"/>
      <c r="L27" s="43" t="s">
        <v>808</v>
      </c>
      <c r="M27" s="4"/>
      <c r="N27" s="4"/>
      <c r="O27" s="4"/>
      <c r="P27" s="4"/>
    </row>
    <row r="28" spans="1:16" x14ac:dyDescent="0.25">
      <c r="A28" s="46" t="s">
        <v>343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</row>
    <row r="29" spans="1:16" ht="48" x14ac:dyDescent="0.25">
      <c r="A29" s="3">
        <v>16</v>
      </c>
      <c r="B29" s="4" t="s">
        <v>18</v>
      </c>
      <c r="C29" s="4" t="s">
        <v>344</v>
      </c>
      <c r="D29" s="4" t="s">
        <v>136</v>
      </c>
      <c r="E29" s="4" t="s">
        <v>21</v>
      </c>
      <c r="F29" s="4" t="s">
        <v>22</v>
      </c>
      <c r="G29" s="4" t="s">
        <v>23</v>
      </c>
      <c r="H29" s="4" t="s">
        <v>24</v>
      </c>
      <c r="I29" s="4" t="s">
        <v>345</v>
      </c>
      <c r="J29" s="4" t="s">
        <v>346</v>
      </c>
      <c r="K29" s="4"/>
      <c r="L29" s="43" t="s">
        <v>808</v>
      </c>
      <c r="M29" s="4"/>
      <c r="N29" s="4"/>
      <c r="O29" s="4"/>
      <c r="P29" s="4"/>
    </row>
    <row r="30" spans="1:16" ht="36" x14ac:dyDescent="0.25">
      <c r="A30" s="3">
        <v>17</v>
      </c>
      <c r="B30" s="4" t="s">
        <v>18</v>
      </c>
      <c r="C30" s="4" t="s">
        <v>347</v>
      </c>
      <c r="D30" s="4" t="s">
        <v>139</v>
      </c>
      <c r="E30" s="4" t="s">
        <v>21</v>
      </c>
      <c r="F30" s="4" t="s">
        <v>22</v>
      </c>
      <c r="G30" s="4" t="s">
        <v>23</v>
      </c>
      <c r="H30" s="4" t="s">
        <v>24</v>
      </c>
      <c r="I30" s="4" t="s">
        <v>348</v>
      </c>
      <c r="J30" s="4" t="s">
        <v>349</v>
      </c>
      <c r="K30" s="4"/>
      <c r="L30" s="43" t="s">
        <v>808</v>
      </c>
      <c r="M30" s="4"/>
      <c r="N30" s="4"/>
      <c r="O30" s="4"/>
      <c r="P30" s="4"/>
    </row>
    <row r="31" spans="1:16" ht="36" x14ac:dyDescent="0.25">
      <c r="A31" s="3">
        <v>18</v>
      </c>
      <c r="B31" s="4" t="s">
        <v>18</v>
      </c>
      <c r="C31" s="4" t="s">
        <v>350</v>
      </c>
      <c r="D31" s="4" t="s">
        <v>143</v>
      </c>
      <c r="E31" s="4" t="s">
        <v>21</v>
      </c>
      <c r="F31" s="4" t="s">
        <v>22</v>
      </c>
      <c r="G31" s="4" t="s">
        <v>23</v>
      </c>
      <c r="H31" s="4" t="s">
        <v>24</v>
      </c>
      <c r="I31" s="4" t="s">
        <v>351</v>
      </c>
      <c r="J31" s="4" t="s">
        <v>311</v>
      </c>
      <c r="K31" s="4"/>
      <c r="L31" s="43" t="s">
        <v>808</v>
      </c>
      <c r="M31" s="4"/>
      <c r="N31" s="4"/>
      <c r="O31" s="4"/>
      <c r="P31" s="4"/>
    </row>
    <row r="32" spans="1:16" x14ac:dyDescent="0.25">
      <c r="A32" s="46" t="s">
        <v>352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</row>
    <row r="33" spans="1:16" ht="72" x14ac:dyDescent="0.25">
      <c r="A33" s="3">
        <v>19</v>
      </c>
      <c r="B33" s="4" t="s">
        <v>18</v>
      </c>
      <c r="C33" s="4" t="s">
        <v>353</v>
      </c>
      <c r="D33" s="4" t="s">
        <v>354</v>
      </c>
      <c r="E33" s="4" t="s">
        <v>21</v>
      </c>
      <c r="F33" s="4" t="s">
        <v>22</v>
      </c>
      <c r="G33" s="4" t="s">
        <v>23</v>
      </c>
      <c r="H33" s="4" t="s">
        <v>24</v>
      </c>
      <c r="I33" s="4" t="s">
        <v>355</v>
      </c>
      <c r="J33" s="4" t="s">
        <v>356</v>
      </c>
      <c r="K33" s="59"/>
      <c r="L33" s="43" t="s">
        <v>808</v>
      </c>
      <c r="M33" s="4"/>
      <c r="N33" s="4"/>
      <c r="O33" s="4"/>
      <c r="P33" s="4"/>
    </row>
    <row r="34" spans="1:16" ht="72" x14ac:dyDescent="0.25">
      <c r="A34" s="3">
        <v>20</v>
      </c>
      <c r="B34" s="4" t="s">
        <v>18</v>
      </c>
      <c r="C34" s="4" t="s">
        <v>357</v>
      </c>
      <c r="D34" s="4" t="s">
        <v>358</v>
      </c>
      <c r="E34" s="4" t="s">
        <v>21</v>
      </c>
      <c r="F34" s="4" t="s">
        <v>22</v>
      </c>
      <c r="G34" s="4" t="s">
        <v>23</v>
      </c>
      <c r="H34" s="4" t="s">
        <v>24</v>
      </c>
      <c r="I34" s="4" t="s">
        <v>359</v>
      </c>
      <c r="J34" s="59" t="s">
        <v>817</v>
      </c>
      <c r="K34" s="4"/>
      <c r="L34" s="43" t="s">
        <v>808</v>
      </c>
      <c r="M34" s="4"/>
      <c r="N34" s="4"/>
      <c r="O34" s="4"/>
      <c r="P34" s="4"/>
    </row>
    <row r="35" spans="1:16" x14ac:dyDescent="0.25">
      <c r="A35" s="46" t="s">
        <v>360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</row>
    <row r="36" spans="1:16" ht="60" x14ac:dyDescent="0.25">
      <c r="A36" s="3">
        <v>21</v>
      </c>
      <c r="B36" s="4" t="s">
        <v>18</v>
      </c>
      <c r="C36" s="4" t="s">
        <v>361</v>
      </c>
      <c r="D36" s="4" t="s">
        <v>362</v>
      </c>
      <c r="E36" s="4" t="s">
        <v>21</v>
      </c>
      <c r="F36" s="4" t="s">
        <v>22</v>
      </c>
      <c r="G36" s="4" t="s">
        <v>23</v>
      </c>
      <c r="H36" s="4" t="s">
        <v>24</v>
      </c>
      <c r="I36" s="4" t="s">
        <v>363</v>
      </c>
      <c r="J36" s="4" t="s">
        <v>72</v>
      </c>
      <c r="K36" s="4"/>
      <c r="L36" s="43" t="s">
        <v>808</v>
      </c>
      <c r="M36" s="4"/>
      <c r="N36" s="4"/>
      <c r="O36" s="4"/>
      <c r="P36" s="4"/>
    </row>
    <row r="37" spans="1:16" ht="60" x14ac:dyDescent="0.25">
      <c r="A37" s="3">
        <v>22</v>
      </c>
      <c r="B37" s="4" t="s">
        <v>18</v>
      </c>
      <c r="C37" s="4" t="s">
        <v>364</v>
      </c>
      <c r="D37" s="4" t="s">
        <v>365</v>
      </c>
      <c r="E37" s="4" t="s">
        <v>21</v>
      </c>
      <c r="F37" s="4" t="s">
        <v>22</v>
      </c>
      <c r="G37" s="4" t="s">
        <v>23</v>
      </c>
      <c r="H37" s="4" t="s">
        <v>24</v>
      </c>
      <c r="I37" s="4" t="s">
        <v>366</v>
      </c>
      <c r="J37" s="4" t="s">
        <v>72</v>
      </c>
      <c r="K37" s="4"/>
      <c r="L37" s="43" t="s">
        <v>808</v>
      </c>
      <c r="M37" s="4"/>
      <c r="N37" s="4"/>
      <c r="O37" s="4"/>
      <c r="P37" s="4"/>
    </row>
    <row r="38" spans="1:16" ht="60" x14ac:dyDescent="0.25">
      <c r="A38" s="3">
        <v>23</v>
      </c>
      <c r="B38" s="4" t="s">
        <v>18</v>
      </c>
      <c r="C38" s="4" t="s">
        <v>367</v>
      </c>
      <c r="D38" s="4" t="s">
        <v>368</v>
      </c>
      <c r="E38" s="4" t="s">
        <v>21</v>
      </c>
      <c r="F38" s="4" t="s">
        <v>22</v>
      </c>
      <c r="G38" s="4" t="s">
        <v>23</v>
      </c>
      <c r="H38" s="4" t="s">
        <v>24</v>
      </c>
      <c r="I38" s="4" t="s">
        <v>369</v>
      </c>
      <c r="J38" s="4" t="s">
        <v>72</v>
      </c>
      <c r="K38" s="4"/>
      <c r="L38" s="43" t="s">
        <v>808</v>
      </c>
      <c r="M38" s="4"/>
      <c r="N38" s="4"/>
      <c r="O38" s="4"/>
      <c r="P38" s="4"/>
    </row>
    <row r="39" spans="1:16" x14ac:dyDescent="0.25">
      <c r="A39" s="46" t="s">
        <v>370</v>
      </c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</row>
    <row r="40" spans="1:16" x14ac:dyDescent="0.25">
      <c r="A40" s="46" t="s">
        <v>213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</row>
    <row r="41" spans="1:16" ht="84" x14ac:dyDescent="0.25">
      <c r="A41" s="3">
        <v>24</v>
      </c>
      <c r="B41" s="4" t="s">
        <v>18</v>
      </c>
      <c r="C41" s="4" t="s">
        <v>371</v>
      </c>
      <c r="D41" s="4" t="s">
        <v>372</v>
      </c>
      <c r="E41" s="4" t="s">
        <v>21</v>
      </c>
      <c r="F41" s="4" t="s">
        <v>22</v>
      </c>
      <c r="G41" s="4" t="s">
        <v>23</v>
      </c>
      <c r="H41" s="4" t="s">
        <v>24</v>
      </c>
      <c r="I41" s="4" t="s">
        <v>373</v>
      </c>
      <c r="J41" s="4" t="s">
        <v>374</v>
      </c>
      <c r="K41" s="59"/>
      <c r="L41" s="43" t="s">
        <v>808</v>
      </c>
      <c r="M41" s="4"/>
      <c r="N41" s="4"/>
      <c r="O41" s="4"/>
      <c r="P41" s="4"/>
    </row>
    <row r="42" spans="1:16" ht="84" x14ac:dyDescent="0.25">
      <c r="A42" s="3">
        <v>25</v>
      </c>
      <c r="B42" s="4" t="s">
        <v>18</v>
      </c>
      <c r="C42" s="4" t="s">
        <v>375</v>
      </c>
      <c r="D42" s="4" t="s">
        <v>376</v>
      </c>
      <c r="E42" s="4" t="s">
        <v>21</v>
      </c>
      <c r="F42" s="4" t="s">
        <v>22</v>
      </c>
      <c r="G42" s="4" t="s">
        <v>23</v>
      </c>
      <c r="H42" s="4" t="s">
        <v>24</v>
      </c>
      <c r="I42" s="4" t="s">
        <v>294</v>
      </c>
      <c r="J42" s="4" t="s">
        <v>295</v>
      </c>
      <c r="K42" s="4"/>
      <c r="L42" s="43" t="s">
        <v>808</v>
      </c>
      <c r="M42" s="4"/>
      <c r="N42" s="4"/>
      <c r="O42" s="4"/>
      <c r="P42" s="4"/>
    </row>
    <row r="43" spans="1:16" ht="96" x14ac:dyDescent="0.25">
      <c r="A43" s="3">
        <v>26</v>
      </c>
      <c r="B43" s="4" t="s">
        <v>18</v>
      </c>
      <c r="C43" s="4" t="s">
        <v>377</v>
      </c>
      <c r="D43" s="4" t="s">
        <v>378</v>
      </c>
      <c r="E43" s="4" t="s">
        <v>21</v>
      </c>
      <c r="F43" s="4" t="s">
        <v>22</v>
      </c>
      <c r="G43" s="4" t="s">
        <v>23</v>
      </c>
      <c r="H43" s="4" t="s">
        <v>24</v>
      </c>
      <c r="I43" s="4" t="s">
        <v>379</v>
      </c>
      <c r="J43" s="4" t="s">
        <v>380</v>
      </c>
      <c r="K43" s="4"/>
      <c r="L43" s="43" t="s">
        <v>808</v>
      </c>
      <c r="M43" s="4"/>
      <c r="N43" s="4"/>
      <c r="O43" s="4"/>
      <c r="P43" s="4"/>
    </row>
    <row r="44" spans="1:16" x14ac:dyDescent="0.25">
      <c r="A44" s="46" t="s">
        <v>226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</row>
    <row r="45" spans="1:16" ht="72" x14ac:dyDescent="0.25">
      <c r="A45" s="3">
        <v>27</v>
      </c>
      <c r="B45" s="4" t="s">
        <v>18</v>
      </c>
      <c r="C45" s="4" t="s">
        <v>381</v>
      </c>
      <c r="D45" s="4" t="s">
        <v>382</v>
      </c>
      <c r="E45" s="4" t="s">
        <v>21</v>
      </c>
      <c r="F45" s="4" t="s">
        <v>22</v>
      </c>
      <c r="G45" s="4" t="s">
        <v>23</v>
      </c>
      <c r="H45" s="4" t="s">
        <v>24</v>
      </c>
      <c r="I45" s="4" t="s">
        <v>302</v>
      </c>
      <c r="J45" s="4" t="s">
        <v>303</v>
      </c>
      <c r="K45" s="4"/>
      <c r="L45" s="43" t="s">
        <v>808</v>
      </c>
      <c r="M45" s="4"/>
      <c r="N45" s="4"/>
      <c r="O45" s="4"/>
      <c r="P45" s="4"/>
    </row>
    <row r="46" spans="1:16" ht="84" x14ac:dyDescent="0.25">
      <c r="A46" s="3">
        <v>28</v>
      </c>
      <c r="B46" s="4" t="s">
        <v>18</v>
      </c>
      <c r="C46" s="4" t="s">
        <v>383</v>
      </c>
      <c r="D46" s="4" t="s">
        <v>384</v>
      </c>
      <c r="E46" s="4" t="s">
        <v>21</v>
      </c>
      <c r="F46" s="4" t="s">
        <v>22</v>
      </c>
      <c r="G46" s="4" t="s">
        <v>23</v>
      </c>
      <c r="H46" s="4" t="s">
        <v>24</v>
      </c>
      <c r="I46" s="4" t="s">
        <v>385</v>
      </c>
      <c r="J46" s="4" t="s">
        <v>386</v>
      </c>
      <c r="K46" s="4"/>
      <c r="L46" s="43" t="s">
        <v>808</v>
      </c>
      <c r="M46" s="4"/>
      <c r="N46" s="4"/>
      <c r="O46" s="4"/>
      <c r="P46" s="4"/>
    </row>
    <row r="47" spans="1:16" ht="84" x14ac:dyDescent="0.25">
      <c r="A47" s="3">
        <v>29</v>
      </c>
      <c r="B47" s="4" t="s">
        <v>18</v>
      </c>
      <c r="C47" s="4" t="s">
        <v>387</v>
      </c>
      <c r="D47" s="4" t="s">
        <v>388</v>
      </c>
      <c r="E47" s="4" t="s">
        <v>21</v>
      </c>
      <c r="F47" s="4" t="s">
        <v>22</v>
      </c>
      <c r="G47" s="4" t="s">
        <v>23</v>
      </c>
      <c r="H47" s="4" t="s">
        <v>24</v>
      </c>
      <c r="I47" s="4" t="s">
        <v>389</v>
      </c>
      <c r="J47" s="4" t="s">
        <v>374</v>
      </c>
      <c r="K47" s="4"/>
      <c r="L47" s="43" t="s">
        <v>808</v>
      </c>
      <c r="M47" s="4"/>
      <c r="N47" s="4"/>
      <c r="O47" s="4"/>
      <c r="P47" s="4"/>
    </row>
    <row r="48" spans="1:16" x14ac:dyDescent="0.25">
      <c r="A48" s="46" t="s">
        <v>235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</row>
    <row r="49" spans="1:16" ht="120" x14ac:dyDescent="0.25">
      <c r="A49" s="3">
        <v>30</v>
      </c>
      <c r="B49" s="4" t="s">
        <v>18</v>
      </c>
      <c r="C49" s="4" t="s">
        <v>390</v>
      </c>
      <c r="D49" s="4" t="s">
        <v>391</v>
      </c>
      <c r="E49" s="4" t="s">
        <v>21</v>
      </c>
      <c r="F49" s="4" t="s">
        <v>22</v>
      </c>
      <c r="G49" s="4" t="s">
        <v>23</v>
      </c>
      <c r="H49" s="4" t="s">
        <v>24</v>
      </c>
      <c r="I49" s="4" t="s">
        <v>392</v>
      </c>
      <c r="J49" s="4" t="s">
        <v>393</v>
      </c>
      <c r="K49" s="4"/>
      <c r="L49" s="43" t="s">
        <v>808</v>
      </c>
      <c r="M49" s="4"/>
      <c r="N49" s="4"/>
      <c r="O49" s="4"/>
      <c r="P49" s="4"/>
    </row>
    <row r="50" spans="1:16" x14ac:dyDescent="0.25">
      <c r="A50" s="46" t="s">
        <v>315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</row>
    <row r="51" spans="1:16" ht="108" x14ac:dyDescent="0.25">
      <c r="A51" s="3">
        <v>31</v>
      </c>
      <c r="B51" s="4" t="s">
        <v>18</v>
      </c>
      <c r="C51" s="4" t="s">
        <v>394</v>
      </c>
      <c r="D51" s="4" t="s">
        <v>395</v>
      </c>
      <c r="E51" s="4" t="s">
        <v>21</v>
      </c>
      <c r="F51" s="4" t="s">
        <v>22</v>
      </c>
      <c r="G51" s="4" t="s">
        <v>23</v>
      </c>
      <c r="H51" s="4" t="s">
        <v>24</v>
      </c>
      <c r="I51" s="4" t="s">
        <v>396</v>
      </c>
      <c r="J51" s="4" t="s">
        <v>397</v>
      </c>
      <c r="K51" s="4"/>
      <c r="L51" s="43" t="s">
        <v>808</v>
      </c>
      <c r="M51" s="4"/>
      <c r="N51" s="4"/>
      <c r="O51" s="4"/>
      <c r="P51" s="4"/>
    </row>
    <row r="52" spans="1:16" x14ac:dyDescent="0.25">
      <c r="A52" s="46" t="s">
        <v>320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</row>
    <row r="53" spans="1:16" ht="156" x14ac:dyDescent="0.25">
      <c r="A53" s="3">
        <v>32</v>
      </c>
      <c r="B53" s="4" t="s">
        <v>18</v>
      </c>
      <c r="C53" s="4" t="s">
        <v>398</v>
      </c>
      <c r="D53" s="4" t="s">
        <v>399</v>
      </c>
      <c r="E53" s="4" t="s">
        <v>21</v>
      </c>
      <c r="F53" s="4" t="s">
        <v>22</v>
      </c>
      <c r="G53" s="4" t="s">
        <v>23</v>
      </c>
      <c r="H53" s="4" t="s">
        <v>24</v>
      </c>
      <c r="I53" s="4" t="s">
        <v>400</v>
      </c>
      <c r="J53" s="4" t="s">
        <v>401</v>
      </c>
      <c r="K53" s="4"/>
      <c r="L53" s="43" t="s">
        <v>808</v>
      </c>
      <c r="M53" s="4"/>
      <c r="N53" s="4"/>
      <c r="O53" s="4"/>
      <c r="P53" s="4"/>
    </row>
    <row r="54" spans="1:16" x14ac:dyDescent="0.25">
      <c r="A54" s="46" t="s">
        <v>325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</row>
    <row r="55" spans="1:16" ht="108" x14ac:dyDescent="0.25">
      <c r="A55" s="3">
        <v>33</v>
      </c>
      <c r="B55" s="4" t="s">
        <v>18</v>
      </c>
      <c r="C55" s="4" t="s">
        <v>402</v>
      </c>
      <c r="D55" s="4" t="s">
        <v>403</v>
      </c>
      <c r="E55" s="4" t="s">
        <v>21</v>
      </c>
      <c r="F55" s="4" t="s">
        <v>22</v>
      </c>
      <c r="G55" s="4" t="s">
        <v>23</v>
      </c>
      <c r="H55" s="4" t="s">
        <v>24</v>
      </c>
      <c r="I55" s="4" t="s">
        <v>404</v>
      </c>
      <c r="J55" s="4" t="s">
        <v>405</v>
      </c>
      <c r="K55" s="4"/>
      <c r="L55" s="43" t="s">
        <v>808</v>
      </c>
      <c r="M55" s="4"/>
      <c r="N55" s="4"/>
      <c r="O55" s="4"/>
      <c r="P55" s="4"/>
    </row>
    <row r="56" spans="1:16" x14ac:dyDescent="0.25">
      <c r="A56" s="46" t="s">
        <v>243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</row>
    <row r="57" spans="1:16" ht="108" x14ac:dyDescent="0.25">
      <c r="A57" s="3">
        <v>34</v>
      </c>
      <c r="B57" s="4" t="s">
        <v>18</v>
      </c>
      <c r="C57" s="4" t="s">
        <v>406</v>
      </c>
      <c r="D57" s="4" t="s">
        <v>407</v>
      </c>
      <c r="E57" s="4" t="s">
        <v>107</v>
      </c>
      <c r="F57" s="4" t="s">
        <v>22</v>
      </c>
      <c r="G57" s="4" t="s">
        <v>23</v>
      </c>
      <c r="H57" s="4" t="s">
        <v>24</v>
      </c>
      <c r="I57" s="4" t="s">
        <v>408</v>
      </c>
      <c r="J57" s="4" t="s">
        <v>409</v>
      </c>
      <c r="K57" s="4"/>
      <c r="L57" s="43" t="s">
        <v>808</v>
      </c>
      <c r="M57" s="4"/>
      <c r="N57" s="4"/>
      <c r="O57" s="4"/>
      <c r="P57" s="4"/>
    </row>
    <row r="58" spans="1:16" ht="96" x14ac:dyDescent="0.25">
      <c r="A58" s="3">
        <v>35</v>
      </c>
      <c r="B58" s="4" t="s">
        <v>18</v>
      </c>
      <c r="C58" s="4" t="s">
        <v>410</v>
      </c>
      <c r="D58" s="4" t="s">
        <v>411</v>
      </c>
      <c r="E58" s="4" t="s">
        <v>107</v>
      </c>
      <c r="F58" s="4" t="s">
        <v>22</v>
      </c>
      <c r="G58" s="4" t="s">
        <v>23</v>
      </c>
      <c r="H58" s="4" t="s">
        <v>24</v>
      </c>
      <c r="I58" s="4" t="s">
        <v>332</v>
      </c>
      <c r="J58" s="4" t="s">
        <v>333</v>
      </c>
      <c r="K58" s="4"/>
      <c r="L58" s="43" t="s">
        <v>808</v>
      </c>
      <c r="M58" s="4"/>
      <c r="N58" s="4"/>
      <c r="O58" s="4"/>
      <c r="P58" s="4"/>
    </row>
    <row r="59" spans="1:16" ht="108" x14ac:dyDescent="0.25">
      <c r="A59" s="3">
        <v>36</v>
      </c>
      <c r="B59" s="4" t="s">
        <v>18</v>
      </c>
      <c r="C59" s="4" t="s">
        <v>412</v>
      </c>
      <c r="D59" s="4" t="s">
        <v>413</v>
      </c>
      <c r="E59" s="4" t="s">
        <v>107</v>
      </c>
      <c r="F59" s="4" t="s">
        <v>22</v>
      </c>
      <c r="G59" s="4" t="s">
        <v>23</v>
      </c>
      <c r="H59" s="4" t="s">
        <v>24</v>
      </c>
      <c r="I59" s="4" t="s">
        <v>414</v>
      </c>
      <c r="J59" s="4" t="s">
        <v>415</v>
      </c>
      <c r="K59" s="4"/>
      <c r="L59" s="43" t="s">
        <v>808</v>
      </c>
      <c r="M59" s="4"/>
      <c r="N59" s="4"/>
      <c r="O59" s="4"/>
      <c r="P59" s="4"/>
    </row>
    <row r="60" spans="1:16" x14ac:dyDescent="0.25">
      <c r="A60" s="46" t="s">
        <v>336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</row>
    <row r="61" spans="1:16" ht="72" x14ac:dyDescent="0.25">
      <c r="A61" s="3">
        <v>37</v>
      </c>
      <c r="B61" s="4" t="s">
        <v>18</v>
      </c>
      <c r="C61" s="4" t="s">
        <v>416</v>
      </c>
      <c r="D61" s="4" t="s">
        <v>417</v>
      </c>
      <c r="E61" s="4" t="s">
        <v>97</v>
      </c>
      <c r="F61" s="4" t="s">
        <v>22</v>
      </c>
      <c r="G61" s="4" t="s">
        <v>23</v>
      </c>
      <c r="H61" s="4" t="s">
        <v>24</v>
      </c>
      <c r="I61" s="4" t="s">
        <v>418</v>
      </c>
      <c r="J61" s="4" t="s">
        <v>419</v>
      </c>
      <c r="K61" s="4"/>
      <c r="L61" s="43" t="s">
        <v>808</v>
      </c>
      <c r="M61" s="4"/>
      <c r="N61" s="4"/>
      <c r="O61" s="4"/>
      <c r="P61" s="4"/>
    </row>
    <row r="62" spans="1:16" ht="72" x14ac:dyDescent="0.25">
      <c r="A62" s="3">
        <v>38</v>
      </c>
      <c r="B62" s="4" t="s">
        <v>18</v>
      </c>
      <c r="C62" s="4" t="s">
        <v>420</v>
      </c>
      <c r="D62" s="4" t="s">
        <v>421</v>
      </c>
      <c r="E62" s="4" t="s">
        <v>97</v>
      </c>
      <c r="F62" s="4" t="s">
        <v>22</v>
      </c>
      <c r="G62" s="4" t="s">
        <v>23</v>
      </c>
      <c r="H62" s="4" t="s">
        <v>24</v>
      </c>
      <c r="I62" s="4" t="s">
        <v>422</v>
      </c>
      <c r="J62" s="4" t="s">
        <v>295</v>
      </c>
      <c r="K62" s="4"/>
      <c r="L62" s="43" t="s">
        <v>808</v>
      </c>
      <c r="M62" s="4"/>
      <c r="N62" s="4"/>
      <c r="O62" s="4"/>
      <c r="P62" s="4"/>
    </row>
    <row r="63" spans="1:16" x14ac:dyDescent="0.25">
      <c r="A63" s="46" t="s">
        <v>343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</row>
    <row r="64" spans="1:16" ht="72" x14ac:dyDescent="0.25">
      <c r="A64" s="3">
        <v>39</v>
      </c>
      <c r="B64" s="4" t="s">
        <v>18</v>
      </c>
      <c r="C64" s="4" t="s">
        <v>423</v>
      </c>
      <c r="D64" s="4" t="s">
        <v>424</v>
      </c>
      <c r="E64" s="4" t="s">
        <v>21</v>
      </c>
      <c r="F64" s="4" t="s">
        <v>22</v>
      </c>
      <c r="G64" s="4" t="s">
        <v>23</v>
      </c>
      <c r="H64" s="4" t="s">
        <v>24</v>
      </c>
      <c r="I64" s="4" t="s">
        <v>425</v>
      </c>
      <c r="J64" s="4" t="s">
        <v>426</v>
      </c>
      <c r="K64" s="4"/>
      <c r="L64" s="43" t="s">
        <v>808</v>
      </c>
      <c r="M64" s="4"/>
      <c r="N64" s="4"/>
      <c r="O64" s="4"/>
      <c r="P64" s="4"/>
    </row>
    <row r="65" spans="1:16" ht="84" x14ac:dyDescent="0.25">
      <c r="A65" s="3">
        <v>40</v>
      </c>
      <c r="B65" s="4" t="s">
        <v>18</v>
      </c>
      <c r="C65" s="4" t="s">
        <v>427</v>
      </c>
      <c r="D65" s="4" t="s">
        <v>428</v>
      </c>
      <c r="E65" s="4" t="s">
        <v>21</v>
      </c>
      <c r="F65" s="4" t="s">
        <v>22</v>
      </c>
      <c r="G65" s="4" t="s">
        <v>23</v>
      </c>
      <c r="H65" s="4" t="s">
        <v>24</v>
      </c>
      <c r="I65" s="4" t="s">
        <v>429</v>
      </c>
      <c r="J65" s="4" t="s">
        <v>430</v>
      </c>
      <c r="K65" s="4"/>
      <c r="L65" s="43" t="s">
        <v>808</v>
      </c>
      <c r="M65" s="4"/>
      <c r="N65" s="4"/>
      <c r="O65" s="4"/>
      <c r="P65" s="4"/>
    </row>
    <row r="66" spans="1:16" ht="84" x14ac:dyDescent="0.25">
      <c r="A66" s="3">
        <v>41</v>
      </c>
      <c r="B66" s="4" t="s">
        <v>18</v>
      </c>
      <c r="C66" s="4" t="s">
        <v>431</v>
      </c>
      <c r="D66" s="4" t="s">
        <v>432</v>
      </c>
      <c r="E66" s="4" t="s">
        <v>21</v>
      </c>
      <c r="F66" s="4" t="s">
        <v>22</v>
      </c>
      <c r="G66" s="4" t="s">
        <v>23</v>
      </c>
      <c r="H66" s="4" t="s">
        <v>24</v>
      </c>
      <c r="I66" s="4" t="s">
        <v>373</v>
      </c>
      <c r="J66" s="4" t="s">
        <v>374</v>
      </c>
      <c r="K66" s="4"/>
      <c r="L66" s="43" t="s">
        <v>808</v>
      </c>
      <c r="M66" s="4"/>
      <c r="N66" s="4"/>
      <c r="O66" s="4"/>
      <c r="P66" s="4"/>
    </row>
    <row r="67" spans="1:16" x14ac:dyDescent="0.25">
      <c r="A67" s="46" t="s">
        <v>352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</row>
    <row r="68" spans="1:16" ht="96" x14ac:dyDescent="0.25">
      <c r="A68" s="3">
        <v>42</v>
      </c>
      <c r="B68" s="4" t="s">
        <v>18</v>
      </c>
      <c r="C68" s="4" t="s">
        <v>433</v>
      </c>
      <c r="D68" s="4" t="s">
        <v>434</v>
      </c>
      <c r="E68" s="4" t="s">
        <v>21</v>
      </c>
      <c r="F68" s="4" t="s">
        <v>22</v>
      </c>
      <c r="G68" s="4" t="s">
        <v>23</v>
      </c>
      <c r="H68" s="4" t="s">
        <v>24</v>
      </c>
      <c r="I68" s="4" t="s">
        <v>435</v>
      </c>
      <c r="J68" s="4" t="s">
        <v>436</v>
      </c>
      <c r="K68" s="4"/>
      <c r="L68" s="43" t="s">
        <v>808</v>
      </c>
      <c r="M68" s="4"/>
      <c r="N68" s="4"/>
      <c r="O68" s="4"/>
      <c r="P68" s="4"/>
    </row>
    <row r="69" spans="1:16" ht="96" x14ac:dyDescent="0.25">
      <c r="A69" s="3">
        <v>43</v>
      </c>
      <c r="B69" s="4" t="s">
        <v>18</v>
      </c>
      <c r="C69" s="4" t="s">
        <v>437</v>
      </c>
      <c r="D69" s="4" t="s">
        <v>438</v>
      </c>
      <c r="E69" s="4" t="s">
        <v>21</v>
      </c>
      <c r="F69" s="4" t="s">
        <v>22</v>
      </c>
      <c r="G69" s="4" t="s">
        <v>23</v>
      </c>
      <c r="H69" s="4" t="s">
        <v>24</v>
      </c>
      <c r="I69" s="4" t="s">
        <v>439</v>
      </c>
      <c r="J69" s="4" t="s">
        <v>436</v>
      </c>
      <c r="K69" s="4"/>
      <c r="L69" s="43" t="s">
        <v>808</v>
      </c>
      <c r="M69" s="4"/>
      <c r="N69" s="4"/>
      <c r="O69" s="4"/>
      <c r="P69" s="4"/>
    </row>
    <row r="70" spans="1:16" x14ac:dyDescent="0.25">
      <c r="A70" s="46" t="s">
        <v>440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</row>
    <row r="71" spans="1:16" ht="84" x14ac:dyDescent="0.25">
      <c r="A71" s="3">
        <v>44</v>
      </c>
      <c r="B71" s="4" t="s">
        <v>18</v>
      </c>
      <c r="C71" s="4" t="s">
        <v>441</v>
      </c>
      <c r="D71" s="4" t="s">
        <v>442</v>
      </c>
      <c r="E71" s="4" t="s">
        <v>21</v>
      </c>
      <c r="F71" s="4" t="s">
        <v>22</v>
      </c>
      <c r="G71" s="4" t="s">
        <v>23</v>
      </c>
      <c r="H71" s="4" t="s">
        <v>24</v>
      </c>
      <c r="I71" s="4" t="s">
        <v>443</v>
      </c>
      <c r="J71" s="4" t="s">
        <v>419</v>
      </c>
      <c r="K71" s="4"/>
      <c r="L71" s="43" t="s">
        <v>808</v>
      </c>
      <c r="M71" s="4"/>
      <c r="N71" s="4"/>
      <c r="O71" s="4"/>
      <c r="P71" s="4"/>
    </row>
    <row r="72" spans="1:16" ht="84" x14ac:dyDescent="0.25">
      <c r="A72" s="3">
        <v>45</v>
      </c>
      <c r="B72" s="4" t="s">
        <v>18</v>
      </c>
      <c r="C72" s="4" t="s">
        <v>444</v>
      </c>
      <c r="D72" s="4" t="s">
        <v>445</v>
      </c>
      <c r="E72" s="4" t="s">
        <v>21</v>
      </c>
      <c r="F72" s="4" t="s">
        <v>22</v>
      </c>
      <c r="G72" s="4" t="s">
        <v>23</v>
      </c>
      <c r="H72" s="4" t="s">
        <v>24</v>
      </c>
      <c r="I72" s="4" t="s">
        <v>446</v>
      </c>
      <c r="J72" s="4" t="s">
        <v>419</v>
      </c>
      <c r="K72" s="4"/>
      <c r="L72" s="43" t="s">
        <v>808</v>
      </c>
      <c r="M72" s="4"/>
      <c r="N72" s="4"/>
      <c r="O72" s="4"/>
      <c r="P72" s="4"/>
    </row>
    <row r="73" spans="1:16" ht="84" x14ac:dyDescent="0.25">
      <c r="A73" s="3">
        <v>46</v>
      </c>
      <c r="B73" s="4" t="s">
        <v>18</v>
      </c>
      <c r="C73" s="4" t="s">
        <v>447</v>
      </c>
      <c r="D73" s="4" t="s">
        <v>448</v>
      </c>
      <c r="E73" s="4" t="s">
        <v>21</v>
      </c>
      <c r="F73" s="4" t="s">
        <v>22</v>
      </c>
      <c r="G73" s="4" t="s">
        <v>23</v>
      </c>
      <c r="H73" s="4" t="s">
        <v>24</v>
      </c>
      <c r="I73" s="4" t="s">
        <v>449</v>
      </c>
      <c r="J73" s="4" t="s">
        <v>419</v>
      </c>
      <c r="K73" s="4"/>
      <c r="L73" s="43" t="s">
        <v>808</v>
      </c>
      <c r="M73" s="4"/>
      <c r="N73" s="4"/>
      <c r="O73" s="4"/>
      <c r="P73" s="4"/>
    </row>
  </sheetData>
  <mergeCells count="34">
    <mergeCell ref="A63:P63"/>
    <mergeCell ref="A28:P28"/>
    <mergeCell ref="A13:P13"/>
    <mergeCell ref="A44:P44"/>
    <mergeCell ref="A40:P40"/>
    <mergeCell ref="A32:P32"/>
    <mergeCell ref="A17:P17"/>
    <mergeCell ref="A35:P35"/>
    <mergeCell ref="K2:K3"/>
    <mergeCell ref="A60:P60"/>
    <mergeCell ref="A52:P52"/>
    <mergeCell ref="H2:H3"/>
    <mergeCell ref="A19:P19"/>
    <mergeCell ref="A9:P9"/>
    <mergeCell ref="A5:P5"/>
    <mergeCell ref="M2:M3"/>
    <mergeCell ref="B2:B3"/>
    <mergeCell ref="A4:P4"/>
    <mergeCell ref="A70:P70"/>
    <mergeCell ref="A54:P54"/>
    <mergeCell ref="A25:P25"/>
    <mergeCell ref="J2:J3"/>
    <mergeCell ref="L2:L3"/>
    <mergeCell ref="A56:P56"/>
    <mergeCell ref="A50:P50"/>
    <mergeCell ref="A21:P21"/>
    <mergeCell ref="C2:F2"/>
    <mergeCell ref="G2:G3"/>
    <mergeCell ref="I2:I3"/>
    <mergeCell ref="A67:P67"/>
    <mergeCell ref="A39:P39"/>
    <mergeCell ref="A2:A3"/>
    <mergeCell ref="A48:P48"/>
    <mergeCell ref="A15:P15"/>
  </mergeCells>
  <phoneticPr fontId="4" type="noConversion"/>
  <conditionalFormatting sqref="L6:L8">
    <cfRule type="cellIs" dxfId="79" priority="37" operator="equal">
      <formula>"Fail"</formula>
    </cfRule>
  </conditionalFormatting>
  <conditionalFormatting sqref="L16">
    <cfRule type="cellIs" dxfId="76" priority="34" operator="equal">
      <formula>"Fail"</formula>
    </cfRule>
  </conditionalFormatting>
  <conditionalFormatting sqref="L18">
    <cfRule type="cellIs" dxfId="75" priority="33" operator="equal">
      <formula>"Fail"</formula>
    </cfRule>
  </conditionalFormatting>
  <conditionalFormatting sqref="L20">
    <cfRule type="cellIs" dxfId="74" priority="32" operator="equal">
      <formula>"Fail"</formula>
    </cfRule>
  </conditionalFormatting>
  <conditionalFormatting sqref="L22:L24">
    <cfRule type="cellIs" dxfId="73" priority="31" operator="equal">
      <formula>"Fail"</formula>
    </cfRule>
  </conditionalFormatting>
  <conditionalFormatting sqref="L33:L34">
    <cfRule type="cellIs" dxfId="70" priority="28" operator="equal">
      <formula>"Fail"</formula>
    </cfRule>
  </conditionalFormatting>
  <conditionalFormatting sqref="L41:L43">
    <cfRule type="cellIs" dxfId="68" priority="26" operator="equal">
      <formula>"Fail"</formula>
    </cfRule>
  </conditionalFormatting>
  <conditionalFormatting sqref="L10:L12">
    <cfRule type="cellIs" dxfId="67" priority="15" operator="equal">
      <formula>"Fail"</formula>
    </cfRule>
  </conditionalFormatting>
  <conditionalFormatting sqref="L14">
    <cfRule type="cellIs" dxfId="56" priority="14" operator="equal">
      <formula>"Fail"</formula>
    </cfRule>
  </conditionalFormatting>
  <conditionalFormatting sqref="L26:L27">
    <cfRule type="cellIs" dxfId="55" priority="13" operator="equal">
      <formula>"Fail"</formula>
    </cfRule>
  </conditionalFormatting>
  <conditionalFormatting sqref="L29:L31">
    <cfRule type="cellIs" dxfId="54" priority="12" operator="equal">
      <formula>"Fail"</formula>
    </cfRule>
  </conditionalFormatting>
  <conditionalFormatting sqref="L36:L38">
    <cfRule type="cellIs" dxfId="53" priority="11" operator="equal">
      <formula>"Fail"</formula>
    </cfRule>
  </conditionalFormatting>
  <conditionalFormatting sqref="L45:L47">
    <cfRule type="cellIs" dxfId="52" priority="10" operator="equal">
      <formula>"Fail"</formula>
    </cfRule>
  </conditionalFormatting>
  <conditionalFormatting sqref="L49">
    <cfRule type="cellIs" dxfId="51" priority="9" operator="equal">
      <formula>"Fail"</formula>
    </cfRule>
  </conditionalFormatting>
  <conditionalFormatting sqref="L51">
    <cfRule type="cellIs" dxfId="50" priority="8" operator="equal">
      <formula>"Fail"</formula>
    </cfRule>
  </conditionalFormatting>
  <conditionalFormatting sqref="L53">
    <cfRule type="cellIs" dxfId="49" priority="7" operator="equal">
      <formula>"Fail"</formula>
    </cfRule>
  </conditionalFormatting>
  <conditionalFormatting sqref="L55">
    <cfRule type="cellIs" dxfId="48" priority="6" operator="equal">
      <formula>"Fail"</formula>
    </cfRule>
  </conditionalFormatting>
  <conditionalFormatting sqref="L57:L59">
    <cfRule type="cellIs" dxfId="47" priority="5" operator="equal">
      <formula>"Fail"</formula>
    </cfRule>
  </conditionalFormatting>
  <conditionalFormatting sqref="L61:L62">
    <cfRule type="cellIs" dxfId="46" priority="4" operator="equal">
      <formula>"Fail"</formula>
    </cfRule>
  </conditionalFormatting>
  <conditionalFormatting sqref="L64:L66">
    <cfRule type="cellIs" dxfId="45" priority="3" operator="equal">
      <formula>"Fail"</formula>
    </cfRule>
  </conditionalFormatting>
  <conditionalFormatting sqref="L68:L69">
    <cfRule type="cellIs" dxfId="44" priority="2" operator="equal">
      <formula>"Fail"</formula>
    </cfRule>
  </conditionalFormatting>
  <conditionalFormatting sqref="L71:L73">
    <cfRule type="cellIs" dxfId="43" priority="1" operator="equal">
      <formula>"Fail"</formula>
    </cfRule>
  </conditionalFormatting>
  <dataValidations count="1">
    <dataValidation type="list" allowBlank="1" showInputMessage="1" showErrorMessage="1" sqref="L68:L69 L6:L8 L10:L12 L16 L18 L20 L14 L22:L24 L26:L27 L29:L31 L33:L34 L36:L38 L41:L43 L45:L47 L49 L51 L53 L55 L57:L59 L61:L62 L64:L66 L71:L73">
      <formula1>"Pass,Fail,Not Apply,Block,Skip"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topLeftCell="C16" workbookViewId="0">
      <selection activeCell="C21" sqref="C21"/>
    </sheetView>
  </sheetViews>
  <sheetFormatPr defaultRowHeight="14.4" x14ac:dyDescent="0.25"/>
  <cols>
    <col min="1" max="1" width="12" customWidth="1"/>
    <col min="2" max="3" width="18" customWidth="1"/>
    <col min="4" max="4" width="33.44140625" customWidth="1"/>
    <col min="5" max="5" width="8" customWidth="1"/>
    <col min="6" max="6" width="10" customWidth="1"/>
    <col min="7" max="7" width="16" customWidth="1"/>
    <col min="8" max="8" width="14" customWidth="1"/>
    <col min="9" max="10" width="50" customWidth="1"/>
    <col min="11" max="11" width="12" customWidth="1"/>
    <col min="12" max="12" width="10" customWidth="1"/>
    <col min="13" max="13" width="12" customWidth="1"/>
    <col min="14" max="16" width="10" customWidth="1"/>
  </cols>
  <sheetData>
    <row r="1" spans="1:16" x14ac:dyDescent="0.25">
      <c r="B1" s="1" t="s">
        <v>0</v>
      </c>
      <c r="C1" s="1" t="s">
        <v>1</v>
      </c>
    </row>
    <row r="2" spans="1:16" x14ac:dyDescent="0.25">
      <c r="A2" s="48" t="s">
        <v>2</v>
      </c>
      <c r="B2" s="50" t="s">
        <v>3</v>
      </c>
      <c r="C2" s="48" t="s">
        <v>4</v>
      </c>
      <c r="D2" s="47"/>
      <c r="E2" s="47"/>
      <c r="F2" s="49"/>
      <c r="G2" s="50" t="s">
        <v>5</v>
      </c>
      <c r="H2" s="50" t="s">
        <v>6</v>
      </c>
      <c r="I2" s="50" t="s">
        <v>7</v>
      </c>
      <c r="J2" s="50" t="s">
        <v>8</v>
      </c>
      <c r="K2" s="50" t="s">
        <v>9</v>
      </c>
      <c r="L2" s="50" t="s">
        <v>10</v>
      </c>
      <c r="M2" s="50" t="s">
        <v>11</v>
      </c>
    </row>
    <row r="3" spans="1:16" x14ac:dyDescent="0.25">
      <c r="A3" s="49"/>
      <c r="B3" s="49"/>
      <c r="C3" s="2" t="s">
        <v>12</v>
      </c>
      <c r="D3" s="2" t="s">
        <v>13</v>
      </c>
      <c r="E3" s="2" t="s">
        <v>14</v>
      </c>
      <c r="F3" s="2" t="s">
        <v>15</v>
      </c>
      <c r="G3" s="49"/>
      <c r="H3" s="49"/>
      <c r="I3" s="49"/>
      <c r="J3" s="49"/>
      <c r="K3" s="49"/>
      <c r="L3" s="49"/>
      <c r="M3" s="49"/>
    </row>
    <row r="4" spans="1:16" x14ac:dyDescent="0.25">
      <c r="A4" s="46" t="s">
        <v>288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</row>
    <row r="5" spans="1:16" x14ac:dyDescent="0.25">
      <c r="A5" s="46" t="s">
        <v>17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</row>
    <row r="6" spans="1:16" ht="36" x14ac:dyDescent="0.25">
      <c r="A6" s="3">
        <v>1</v>
      </c>
      <c r="B6" s="4" t="s">
        <v>18</v>
      </c>
      <c r="C6" s="4" t="s">
        <v>450</v>
      </c>
      <c r="D6" s="4" t="s">
        <v>451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452</v>
      </c>
      <c r="J6" s="4" t="s">
        <v>453</v>
      </c>
      <c r="K6" s="59" t="s">
        <v>818</v>
      </c>
      <c r="L6" s="43" t="s">
        <v>803</v>
      </c>
      <c r="M6" s="4"/>
      <c r="N6" s="4"/>
      <c r="O6" s="4"/>
      <c r="P6" s="4"/>
    </row>
    <row r="7" spans="1:16" ht="36" x14ac:dyDescent="0.25">
      <c r="A7" s="3">
        <v>2</v>
      </c>
      <c r="B7" s="4" t="s">
        <v>18</v>
      </c>
      <c r="C7" s="4" t="s">
        <v>454</v>
      </c>
      <c r="D7" s="4" t="s">
        <v>455</v>
      </c>
      <c r="E7" s="4" t="s">
        <v>21</v>
      </c>
      <c r="F7" s="4" t="s">
        <v>22</v>
      </c>
      <c r="G7" s="4" t="s">
        <v>23</v>
      </c>
      <c r="H7" s="4" t="s">
        <v>24</v>
      </c>
      <c r="I7" s="4" t="s">
        <v>456</v>
      </c>
      <c r="J7" s="4" t="s">
        <v>457</v>
      </c>
      <c r="K7" s="4"/>
      <c r="L7" s="43" t="s">
        <v>808</v>
      </c>
      <c r="M7" s="4"/>
      <c r="N7" s="4"/>
      <c r="O7" s="4"/>
      <c r="P7" s="4"/>
    </row>
    <row r="8" spans="1:16" ht="72" x14ac:dyDescent="0.25">
      <c r="A8" s="3">
        <v>3</v>
      </c>
      <c r="B8" s="4" t="s">
        <v>18</v>
      </c>
      <c r="C8" s="4" t="s">
        <v>458</v>
      </c>
      <c r="D8" s="4" t="s">
        <v>459</v>
      </c>
      <c r="E8" s="4" t="s">
        <v>21</v>
      </c>
      <c r="F8" s="4" t="s">
        <v>22</v>
      </c>
      <c r="G8" s="4" t="s">
        <v>23</v>
      </c>
      <c r="H8" s="4" t="s">
        <v>24</v>
      </c>
      <c r="I8" s="4" t="s">
        <v>460</v>
      </c>
      <c r="J8" s="4" t="s">
        <v>461</v>
      </c>
      <c r="K8" s="4"/>
      <c r="L8" s="43" t="s">
        <v>808</v>
      </c>
      <c r="M8" s="4"/>
      <c r="N8" s="4"/>
      <c r="O8" s="4"/>
      <c r="P8" s="4"/>
    </row>
    <row r="9" spans="1:16" x14ac:dyDescent="0.25">
      <c r="A9" s="46" t="s">
        <v>462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</row>
    <row r="10" spans="1:16" x14ac:dyDescent="0.25">
      <c r="A10" s="46" t="s">
        <v>145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</row>
    <row r="11" spans="1:16" ht="36" x14ac:dyDescent="0.25">
      <c r="A11" s="3">
        <v>4</v>
      </c>
      <c r="B11" s="4" t="s">
        <v>18</v>
      </c>
      <c r="C11" s="59" t="s">
        <v>820</v>
      </c>
      <c r="D11" s="4" t="s">
        <v>451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463</v>
      </c>
      <c r="J11" s="4" t="s">
        <v>464</v>
      </c>
      <c r="K11" s="59" t="s">
        <v>819</v>
      </c>
      <c r="L11" s="43" t="s">
        <v>803</v>
      </c>
      <c r="M11" s="4"/>
      <c r="N11" s="4"/>
      <c r="O11" s="4"/>
      <c r="P11" s="4"/>
    </row>
    <row r="12" spans="1:16" ht="36" x14ac:dyDescent="0.25">
      <c r="A12" s="3">
        <v>5</v>
      </c>
      <c r="B12" s="4" t="s">
        <v>18</v>
      </c>
      <c r="C12" s="4" t="s">
        <v>465</v>
      </c>
      <c r="D12" s="4" t="s">
        <v>455</v>
      </c>
      <c r="E12" s="4" t="s">
        <v>21</v>
      </c>
      <c r="F12" s="4" t="s">
        <v>22</v>
      </c>
      <c r="G12" s="4" t="s">
        <v>23</v>
      </c>
      <c r="H12" s="4" t="s">
        <v>24</v>
      </c>
      <c r="I12" s="4" t="s">
        <v>466</v>
      </c>
      <c r="J12" s="4" t="s">
        <v>467</v>
      </c>
      <c r="K12" s="59" t="s">
        <v>819</v>
      </c>
      <c r="L12" s="43" t="s">
        <v>803</v>
      </c>
      <c r="M12" s="4"/>
      <c r="N12" s="4"/>
      <c r="O12" s="4"/>
      <c r="P12" s="4"/>
    </row>
    <row r="13" spans="1:16" ht="72" x14ac:dyDescent="0.25">
      <c r="A13" s="3">
        <v>6</v>
      </c>
      <c r="B13" s="4" t="s">
        <v>18</v>
      </c>
      <c r="C13" s="4" t="s">
        <v>468</v>
      </c>
      <c r="D13" s="4" t="s">
        <v>459</v>
      </c>
      <c r="E13" s="4" t="s">
        <v>21</v>
      </c>
      <c r="F13" s="4" t="s">
        <v>22</v>
      </c>
      <c r="G13" s="4" t="s">
        <v>23</v>
      </c>
      <c r="H13" s="4" t="s">
        <v>24</v>
      </c>
      <c r="I13" s="4" t="s">
        <v>469</v>
      </c>
      <c r="J13" s="4" t="s">
        <v>470</v>
      </c>
      <c r="K13" s="59" t="s">
        <v>819</v>
      </c>
      <c r="L13" s="43" t="s">
        <v>803</v>
      </c>
      <c r="M13" s="4"/>
      <c r="N13" s="4"/>
      <c r="O13" s="4"/>
      <c r="P13" s="4"/>
    </row>
    <row r="14" spans="1:16" x14ac:dyDescent="0.25">
      <c r="A14" s="46" t="s">
        <v>370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</row>
    <row r="15" spans="1:16" x14ac:dyDescent="0.25">
      <c r="A15" s="46" t="s">
        <v>213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</row>
    <row r="16" spans="1:16" ht="84" x14ac:dyDescent="0.25">
      <c r="A16" s="3">
        <v>7</v>
      </c>
      <c r="B16" s="4" t="s">
        <v>18</v>
      </c>
      <c r="C16" s="4" t="s">
        <v>471</v>
      </c>
      <c r="D16" s="4" t="s">
        <v>451</v>
      </c>
      <c r="E16" s="4" t="s">
        <v>21</v>
      </c>
      <c r="F16" s="4" t="s">
        <v>22</v>
      </c>
      <c r="G16" s="4" t="s">
        <v>23</v>
      </c>
      <c r="H16" s="4" t="s">
        <v>24</v>
      </c>
      <c r="I16" s="4" t="s">
        <v>472</v>
      </c>
      <c r="J16" s="4" t="s">
        <v>473</v>
      </c>
      <c r="K16" s="4"/>
      <c r="L16" s="43" t="s">
        <v>808</v>
      </c>
      <c r="M16" s="4"/>
      <c r="N16" s="4"/>
      <c r="O16" s="4"/>
      <c r="P16" s="4"/>
    </row>
    <row r="17" spans="1:16" ht="72" x14ac:dyDescent="0.25">
      <c r="A17" s="3">
        <v>8</v>
      </c>
      <c r="B17" s="4" t="s">
        <v>18</v>
      </c>
      <c r="C17" s="4" t="s">
        <v>474</v>
      </c>
      <c r="D17" s="4" t="s">
        <v>459</v>
      </c>
      <c r="E17" s="4" t="s">
        <v>21</v>
      </c>
      <c r="F17" s="4" t="s">
        <v>22</v>
      </c>
      <c r="G17" s="4" t="s">
        <v>23</v>
      </c>
      <c r="H17" s="4" t="s">
        <v>24</v>
      </c>
      <c r="I17" s="4" t="s">
        <v>460</v>
      </c>
      <c r="J17" s="4" t="s">
        <v>461</v>
      </c>
      <c r="K17" s="4"/>
      <c r="L17" s="43" t="s">
        <v>808</v>
      </c>
      <c r="M17" s="4"/>
      <c r="N17" s="4"/>
      <c r="O17" s="4"/>
      <c r="P17" s="4"/>
    </row>
    <row r="18" spans="1:16" ht="84" x14ac:dyDescent="0.25">
      <c r="A18" s="3">
        <v>9</v>
      </c>
      <c r="B18" s="4" t="s">
        <v>18</v>
      </c>
      <c r="C18" s="4" t="s">
        <v>475</v>
      </c>
      <c r="D18" s="4" t="s">
        <v>455</v>
      </c>
      <c r="E18" s="4" t="s">
        <v>21</v>
      </c>
      <c r="F18" s="4" t="s">
        <v>22</v>
      </c>
      <c r="G18" s="4" t="s">
        <v>23</v>
      </c>
      <c r="H18" s="4" t="s">
        <v>24</v>
      </c>
      <c r="I18" s="4" t="s">
        <v>476</v>
      </c>
      <c r="J18" s="4" t="s">
        <v>477</v>
      </c>
      <c r="K18" s="4"/>
      <c r="L18" s="43" t="s">
        <v>808</v>
      </c>
      <c r="M18" s="4"/>
      <c r="N18" s="4"/>
      <c r="O18" s="4"/>
      <c r="P18" s="4"/>
    </row>
    <row r="19" spans="1:16" x14ac:dyDescent="0.25">
      <c r="A19" s="46" t="s">
        <v>478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</row>
    <row r="20" spans="1:16" x14ac:dyDescent="0.25">
      <c r="A20" s="46" t="s">
        <v>261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</row>
    <row r="21" spans="1:16" ht="84" x14ac:dyDescent="0.25">
      <c r="A21" s="3">
        <v>10</v>
      </c>
      <c r="B21" s="4" t="s">
        <v>18</v>
      </c>
      <c r="C21" s="4" t="s">
        <v>479</v>
      </c>
      <c r="D21" s="4" t="s">
        <v>451</v>
      </c>
      <c r="E21" s="4" t="s">
        <v>21</v>
      </c>
      <c r="F21" s="4" t="s">
        <v>22</v>
      </c>
      <c r="G21" s="4" t="s">
        <v>23</v>
      </c>
      <c r="H21" s="4" t="s">
        <v>24</v>
      </c>
      <c r="I21" s="59" t="s">
        <v>821</v>
      </c>
      <c r="J21" s="4" t="s">
        <v>480</v>
      </c>
      <c r="K21" s="59" t="s">
        <v>822</v>
      </c>
      <c r="L21" s="43" t="s">
        <v>803</v>
      </c>
      <c r="M21" s="4"/>
      <c r="N21" s="4"/>
      <c r="O21" s="4"/>
      <c r="P21" s="4"/>
    </row>
    <row r="22" spans="1:16" ht="72" x14ac:dyDescent="0.25">
      <c r="A22" s="3">
        <v>11</v>
      </c>
      <c r="B22" s="4" t="s">
        <v>18</v>
      </c>
      <c r="C22" s="4" t="s">
        <v>481</v>
      </c>
      <c r="D22" s="4" t="s">
        <v>459</v>
      </c>
      <c r="E22" s="4" t="s">
        <v>21</v>
      </c>
      <c r="F22" s="4" t="s">
        <v>22</v>
      </c>
      <c r="G22" s="4" t="s">
        <v>23</v>
      </c>
      <c r="H22" s="4" t="s">
        <v>24</v>
      </c>
      <c r="I22" s="4" t="s">
        <v>469</v>
      </c>
      <c r="J22" s="4" t="s">
        <v>470</v>
      </c>
      <c r="K22" s="59" t="s">
        <v>822</v>
      </c>
      <c r="L22" s="43" t="s">
        <v>803</v>
      </c>
      <c r="M22" s="4"/>
      <c r="N22" s="4"/>
      <c r="O22" s="4"/>
      <c r="P22" s="4"/>
    </row>
    <row r="23" spans="1:16" ht="84" x14ac:dyDescent="0.25">
      <c r="A23" s="3">
        <v>12</v>
      </c>
      <c r="B23" s="4" t="s">
        <v>18</v>
      </c>
      <c r="C23" s="4" t="s">
        <v>482</v>
      </c>
      <c r="D23" s="4" t="s">
        <v>455</v>
      </c>
      <c r="E23" s="4" t="s">
        <v>21</v>
      </c>
      <c r="F23" s="4" t="s">
        <v>22</v>
      </c>
      <c r="G23" s="4" t="s">
        <v>23</v>
      </c>
      <c r="H23" s="4" t="s">
        <v>24</v>
      </c>
      <c r="I23" s="4" t="s">
        <v>483</v>
      </c>
      <c r="J23" s="4" t="s">
        <v>484</v>
      </c>
      <c r="K23" s="59" t="s">
        <v>822</v>
      </c>
      <c r="L23" s="43" t="s">
        <v>803</v>
      </c>
      <c r="M23" s="4"/>
      <c r="N23" s="4"/>
      <c r="O23" s="4"/>
      <c r="P23" s="4"/>
    </row>
  </sheetData>
  <mergeCells count="18">
    <mergeCell ref="A14:P14"/>
    <mergeCell ref="A9:P9"/>
    <mergeCell ref="A4:P4"/>
    <mergeCell ref="A20:P20"/>
    <mergeCell ref="C2:F2"/>
    <mergeCell ref="G2:G3"/>
    <mergeCell ref="J2:J3"/>
    <mergeCell ref="H2:H3"/>
    <mergeCell ref="L2:L3"/>
    <mergeCell ref="I2:I3"/>
    <mergeCell ref="K2:K3"/>
    <mergeCell ref="M2:M3"/>
    <mergeCell ref="B2:B3"/>
    <mergeCell ref="A2:A3"/>
    <mergeCell ref="A15:P15"/>
    <mergeCell ref="A10:P10"/>
    <mergeCell ref="A5:P5"/>
    <mergeCell ref="A19:P19"/>
  </mergeCells>
  <phoneticPr fontId="4" type="noConversion"/>
  <conditionalFormatting sqref="L6:L8">
    <cfRule type="cellIs" dxfId="42" priority="4" operator="equal">
      <formula>"Fail"</formula>
    </cfRule>
  </conditionalFormatting>
  <conditionalFormatting sqref="L11:L13">
    <cfRule type="cellIs" dxfId="41" priority="3" operator="equal">
      <formula>"Fail"</formula>
    </cfRule>
  </conditionalFormatting>
  <conditionalFormatting sqref="L16:L18">
    <cfRule type="cellIs" dxfId="40" priority="2" operator="equal">
      <formula>"Fail"</formula>
    </cfRule>
  </conditionalFormatting>
  <conditionalFormatting sqref="L21:L23">
    <cfRule type="cellIs" dxfId="39" priority="1" operator="equal">
      <formula>"Fail"</formula>
    </cfRule>
  </conditionalFormatting>
  <dataValidations count="1">
    <dataValidation type="list" allowBlank="1" showInputMessage="1" showErrorMessage="1" sqref="L16:L18 L6:L8 L11:L13 L21:L23">
      <formula1>"Pass,Fail,Not Apply,Block,Skip"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7"/>
  <sheetViews>
    <sheetView tabSelected="1" zoomScale="85" zoomScaleNormal="85" workbookViewId="0">
      <selection activeCell="D8" sqref="D8"/>
    </sheetView>
  </sheetViews>
  <sheetFormatPr defaultRowHeight="14.4" x14ac:dyDescent="0.25"/>
  <cols>
    <col min="1" max="1" width="12" customWidth="1"/>
    <col min="2" max="3" width="18" customWidth="1"/>
    <col min="4" max="4" width="30.5546875" customWidth="1"/>
    <col min="5" max="5" width="8" customWidth="1"/>
    <col min="6" max="6" width="10" customWidth="1"/>
    <col min="7" max="7" width="16" customWidth="1"/>
    <col min="8" max="8" width="14" customWidth="1"/>
    <col min="9" max="9" width="62.44140625" customWidth="1"/>
    <col min="10" max="10" width="50" customWidth="1"/>
    <col min="11" max="11" width="12" customWidth="1"/>
    <col min="12" max="12" width="10" customWidth="1"/>
    <col min="13" max="13" width="12" customWidth="1"/>
    <col min="14" max="16" width="10" customWidth="1"/>
  </cols>
  <sheetData>
    <row r="1" spans="1:16" x14ac:dyDescent="0.25">
      <c r="B1" s="1" t="s">
        <v>0</v>
      </c>
      <c r="C1" s="1" t="s">
        <v>1</v>
      </c>
    </row>
    <row r="2" spans="1:16" x14ac:dyDescent="0.25">
      <c r="A2" s="48" t="s">
        <v>2</v>
      </c>
      <c r="B2" s="50" t="s">
        <v>3</v>
      </c>
      <c r="C2" s="48" t="s">
        <v>4</v>
      </c>
      <c r="D2" s="47"/>
      <c r="E2" s="47"/>
      <c r="F2" s="49"/>
      <c r="G2" s="50" t="s">
        <v>5</v>
      </c>
      <c r="H2" s="50" t="s">
        <v>6</v>
      </c>
      <c r="I2" s="50" t="s">
        <v>7</v>
      </c>
      <c r="J2" s="50" t="s">
        <v>8</v>
      </c>
      <c r="K2" s="50" t="s">
        <v>9</v>
      </c>
      <c r="L2" s="50" t="s">
        <v>10</v>
      </c>
      <c r="M2" s="50" t="s">
        <v>11</v>
      </c>
    </row>
    <row r="3" spans="1:16" x14ac:dyDescent="0.25">
      <c r="A3" s="49"/>
      <c r="B3" s="49"/>
      <c r="C3" s="2" t="s">
        <v>12</v>
      </c>
      <c r="D3" s="2" t="s">
        <v>13</v>
      </c>
      <c r="E3" s="2" t="s">
        <v>14</v>
      </c>
      <c r="F3" s="2" t="s">
        <v>15</v>
      </c>
      <c r="G3" s="49"/>
      <c r="H3" s="49"/>
      <c r="I3" s="49"/>
      <c r="J3" s="49"/>
      <c r="K3" s="49"/>
      <c r="L3" s="49"/>
      <c r="M3" s="49"/>
    </row>
    <row r="4" spans="1:16" x14ac:dyDescent="0.25">
      <c r="A4" s="46" t="s">
        <v>485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</row>
    <row r="5" spans="1:16" x14ac:dyDescent="0.25">
      <c r="A5" s="46" t="s">
        <v>486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</row>
    <row r="6" spans="1:16" ht="36" x14ac:dyDescent="0.25">
      <c r="A6" s="3">
        <v>1</v>
      </c>
      <c r="B6" s="4" t="s">
        <v>18</v>
      </c>
      <c r="C6" s="4" t="s">
        <v>487</v>
      </c>
      <c r="D6" s="4" t="s">
        <v>488</v>
      </c>
      <c r="E6" s="4" t="s">
        <v>21</v>
      </c>
      <c r="F6" s="4" t="s">
        <v>22</v>
      </c>
      <c r="G6" s="4" t="s">
        <v>23</v>
      </c>
      <c r="H6" s="4" t="s">
        <v>24</v>
      </c>
      <c r="I6" s="59" t="s">
        <v>836</v>
      </c>
      <c r="J6" s="4" t="s">
        <v>489</v>
      </c>
      <c r="K6" s="59" t="s">
        <v>823</v>
      </c>
      <c r="L6" s="43" t="s">
        <v>803</v>
      </c>
      <c r="M6" s="4"/>
      <c r="N6" s="4"/>
      <c r="O6" s="4"/>
      <c r="P6" s="4"/>
    </row>
    <row r="7" spans="1:16" ht="36" x14ac:dyDescent="0.25">
      <c r="A7" s="3">
        <v>2</v>
      </c>
      <c r="B7" s="4" t="s">
        <v>18</v>
      </c>
      <c r="C7" s="4" t="s">
        <v>490</v>
      </c>
      <c r="D7" s="4" t="s">
        <v>491</v>
      </c>
      <c r="E7" s="4" t="s">
        <v>21</v>
      </c>
      <c r="F7" s="4" t="s">
        <v>22</v>
      </c>
      <c r="G7" s="4" t="s">
        <v>23</v>
      </c>
      <c r="H7" s="4" t="s">
        <v>24</v>
      </c>
      <c r="I7" s="4" t="s">
        <v>492</v>
      </c>
      <c r="J7" s="4" t="s">
        <v>489</v>
      </c>
      <c r="K7" s="4"/>
      <c r="L7" s="43" t="s">
        <v>803</v>
      </c>
      <c r="M7" s="4"/>
      <c r="N7" s="4"/>
      <c r="O7" s="4"/>
      <c r="P7" s="4"/>
    </row>
    <row r="8" spans="1:16" ht="96" x14ac:dyDescent="0.25">
      <c r="A8" s="3">
        <v>3</v>
      </c>
      <c r="B8" s="4" t="s">
        <v>18</v>
      </c>
      <c r="C8" s="4" t="s">
        <v>493</v>
      </c>
      <c r="D8" s="4" t="s">
        <v>494</v>
      </c>
      <c r="E8" s="4" t="s">
        <v>21</v>
      </c>
      <c r="F8" s="4" t="s">
        <v>22</v>
      </c>
      <c r="G8" s="4" t="s">
        <v>23</v>
      </c>
      <c r="H8" s="4" t="s">
        <v>24</v>
      </c>
      <c r="I8" s="4" t="s">
        <v>495</v>
      </c>
      <c r="J8" s="4" t="s">
        <v>496</v>
      </c>
      <c r="K8" s="62" t="s">
        <v>824</v>
      </c>
      <c r="L8" s="43" t="s">
        <v>803</v>
      </c>
      <c r="M8" s="4"/>
      <c r="N8" s="4"/>
      <c r="O8" s="4"/>
      <c r="P8" s="4"/>
    </row>
    <row r="9" spans="1:16" ht="96" x14ac:dyDescent="0.25">
      <c r="A9" s="3">
        <v>4</v>
      </c>
      <c r="B9" s="4" t="s">
        <v>18</v>
      </c>
      <c r="C9" s="4" t="s">
        <v>497</v>
      </c>
      <c r="D9" s="4" t="s">
        <v>498</v>
      </c>
      <c r="E9" s="4" t="s">
        <v>21</v>
      </c>
      <c r="F9" s="4" t="s">
        <v>22</v>
      </c>
      <c r="G9" s="4" t="s">
        <v>23</v>
      </c>
      <c r="H9" s="4" t="s">
        <v>24</v>
      </c>
      <c r="I9" s="4" t="s">
        <v>499</v>
      </c>
      <c r="J9" s="4" t="s">
        <v>500</v>
      </c>
      <c r="K9" s="62" t="s">
        <v>824</v>
      </c>
      <c r="L9" s="43" t="s">
        <v>803</v>
      </c>
      <c r="M9" s="4"/>
      <c r="N9" s="4"/>
      <c r="O9" s="4"/>
      <c r="P9" s="4"/>
    </row>
    <row r="10" spans="1:16" ht="48" x14ac:dyDescent="0.25">
      <c r="A10" s="3">
        <v>5</v>
      </c>
      <c r="B10" s="4" t="s">
        <v>18</v>
      </c>
      <c r="C10" s="4" t="s">
        <v>501</v>
      </c>
      <c r="D10" s="4" t="s">
        <v>502</v>
      </c>
      <c r="E10" s="4" t="s">
        <v>21</v>
      </c>
      <c r="F10" s="4" t="s">
        <v>22</v>
      </c>
      <c r="G10" s="4" t="s">
        <v>23</v>
      </c>
      <c r="H10" s="4" t="s">
        <v>24</v>
      </c>
      <c r="I10" s="4" t="s">
        <v>503</v>
      </c>
      <c r="J10" s="4" t="s">
        <v>504</v>
      </c>
      <c r="K10" s="4"/>
      <c r="L10" s="43" t="s">
        <v>808</v>
      </c>
      <c r="M10" s="4"/>
      <c r="N10" s="4"/>
      <c r="O10" s="4"/>
      <c r="P10" s="4"/>
    </row>
    <row r="11" spans="1:16" ht="72" x14ac:dyDescent="0.25">
      <c r="A11" s="3">
        <v>6</v>
      </c>
      <c r="B11" s="4" t="s">
        <v>18</v>
      </c>
      <c r="C11" s="4" t="s">
        <v>505</v>
      </c>
      <c r="D11" s="4" t="s">
        <v>506</v>
      </c>
      <c r="E11" s="4" t="s">
        <v>21</v>
      </c>
      <c r="F11" s="4" t="s">
        <v>22</v>
      </c>
      <c r="G11" s="4" t="s">
        <v>23</v>
      </c>
      <c r="H11" s="4" t="s">
        <v>24</v>
      </c>
      <c r="I11" s="59" t="s">
        <v>825</v>
      </c>
      <c r="J11" s="4" t="s">
        <v>507</v>
      </c>
      <c r="K11" s="59" t="s">
        <v>826</v>
      </c>
      <c r="L11" s="43" t="s">
        <v>803</v>
      </c>
      <c r="M11" s="4"/>
      <c r="N11" s="4"/>
      <c r="O11" s="4"/>
      <c r="P11" s="4"/>
    </row>
    <row r="12" spans="1:16" x14ac:dyDescent="0.25">
      <c r="A12" s="46" t="s">
        <v>508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</row>
    <row r="13" spans="1:16" ht="36" x14ac:dyDescent="0.25">
      <c r="A13" s="3">
        <v>7</v>
      </c>
      <c r="B13" s="4" t="s">
        <v>18</v>
      </c>
      <c r="C13" s="4" t="s">
        <v>509</v>
      </c>
      <c r="D13" s="4" t="s">
        <v>510</v>
      </c>
      <c r="E13" s="4" t="s">
        <v>21</v>
      </c>
      <c r="F13" s="4" t="s">
        <v>22</v>
      </c>
      <c r="G13" s="4" t="s">
        <v>23</v>
      </c>
      <c r="H13" s="4" t="s">
        <v>24</v>
      </c>
      <c r="I13" s="4" t="s">
        <v>511</v>
      </c>
      <c r="J13" s="4" t="s">
        <v>512</v>
      </c>
      <c r="K13" s="4"/>
      <c r="L13" s="43" t="s">
        <v>808</v>
      </c>
      <c r="M13" s="4"/>
      <c r="N13" s="4"/>
      <c r="O13" s="4"/>
      <c r="P13" s="4"/>
    </row>
    <row r="14" spans="1:16" ht="36" x14ac:dyDescent="0.25">
      <c r="A14" s="3">
        <v>8</v>
      </c>
      <c r="B14" s="4" t="s">
        <v>18</v>
      </c>
      <c r="C14" s="4" t="s">
        <v>513</v>
      </c>
      <c r="D14" s="4" t="s">
        <v>514</v>
      </c>
      <c r="E14" s="4" t="s">
        <v>21</v>
      </c>
      <c r="F14" s="4" t="s">
        <v>22</v>
      </c>
      <c r="G14" s="4" t="s">
        <v>23</v>
      </c>
      <c r="H14" s="4" t="s">
        <v>24</v>
      </c>
      <c r="I14" s="4" t="s">
        <v>515</v>
      </c>
      <c r="J14" s="4" t="s">
        <v>516</v>
      </c>
      <c r="K14" s="4"/>
      <c r="L14" s="43" t="s">
        <v>808</v>
      </c>
      <c r="M14" s="4"/>
      <c r="N14" s="4"/>
      <c r="O14" s="4"/>
      <c r="P14" s="4"/>
    </row>
    <row r="15" spans="1:16" ht="48" x14ac:dyDescent="0.25">
      <c r="A15" s="3">
        <v>9</v>
      </c>
      <c r="B15" s="4" t="s">
        <v>18</v>
      </c>
      <c r="C15" s="4" t="s">
        <v>517</v>
      </c>
      <c r="D15" s="4" t="s">
        <v>518</v>
      </c>
      <c r="E15" s="4" t="s">
        <v>21</v>
      </c>
      <c r="F15" s="4" t="s">
        <v>22</v>
      </c>
      <c r="G15" s="4" t="s">
        <v>23</v>
      </c>
      <c r="H15" s="4" t="s">
        <v>24</v>
      </c>
      <c r="I15" s="4" t="s">
        <v>503</v>
      </c>
      <c r="J15" s="4" t="s">
        <v>504</v>
      </c>
      <c r="K15" s="4"/>
      <c r="L15" s="43" t="s">
        <v>808</v>
      </c>
      <c r="M15" s="4"/>
      <c r="N15" s="4"/>
      <c r="O15" s="4"/>
      <c r="P15" s="4"/>
    </row>
    <row r="16" spans="1:16" ht="48" x14ac:dyDescent="0.25">
      <c r="A16" s="3">
        <v>10</v>
      </c>
      <c r="B16" s="4" t="s">
        <v>18</v>
      </c>
      <c r="C16" s="4" t="s">
        <v>519</v>
      </c>
      <c r="D16" s="4" t="s">
        <v>520</v>
      </c>
      <c r="E16" s="4" t="s">
        <v>21</v>
      </c>
      <c r="F16" s="4" t="s">
        <v>22</v>
      </c>
      <c r="G16" s="4" t="s">
        <v>23</v>
      </c>
      <c r="H16" s="4" t="s">
        <v>24</v>
      </c>
      <c r="I16" s="4" t="s">
        <v>521</v>
      </c>
      <c r="J16" s="4" t="s">
        <v>516</v>
      </c>
      <c r="K16" s="4"/>
      <c r="L16" s="43" t="s">
        <v>808</v>
      </c>
      <c r="M16" s="4"/>
      <c r="N16" s="4"/>
      <c r="O16" s="4"/>
      <c r="P16" s="4"/>
    </row>
    <row r="17" spans="1:16" ht="72" x14ac:dyDescent="0.25">
      <c r="A17" s="3">
        <v>11</v>
      </c>
      <c r="B17" s="4" t="s">
        <v>18</v>
      </c>
      <c r="C17" s="4" t="s">
        <v>522</v>
      </c>
      <c r="D17" s="4" t="s">
        <v>523</v>
      </c>
      <c r="E17" s="4" t="s">
        <v>21</v>
      </c>
      <c r="F17" s="4" t="s">
        <v>22</v>
      </c>
      <c r="G17" s="4" t="s">
        <v>23</v>
      </c>
      <c r="H17" s="4" t="s">
        <v>24</v>
      </c>
      <c r="I17" s="4" t="s">
        <v>524</v>
      </c>
      <c r="J17" s="4" t="s">
        <v>516</v>
      </c>
      <c r="K17" s="59" t="s">
        <v>826</v>
      </c>
      <c r="L17" s="43" t="s">
        <v>803</v>
      </c>
      <c r="M17" s="4"/>
      <c r="N17" s="4"/>
      <c r="O17" s="4"/>
      <c r="P17" s="4"/>
    </row>
    <row r="18" spans="1:16" ht="60" x14ac:dyDescent="0.25">
      <c r="A18" s="3">
        <v>12</v>
      </c>
      <c r="B18" s="4" t="s">
        <v>18</v>
      </c>
      <c r="C18" s="4" t="s">
        <v>525</v>
      </c>
      <c r="D18" s="4" t="s">
        <v>526</v>
      </c>
      <c r="E18" s="4" t="s">
        <v>21</v>
      </c>
      <c r="F18" s="4" t="s">
        <v>22</v>
      </c>
      <c r="G18" s="4" t="s">
        <v>23</v>
      </c>
      <c r="H18" s="4" t="s">
        <v>24</v>
      </c>
      <c r="I18" s="4" t="s">
        <v>527</v>
      </c>
      <c r="J18" s="4" t="s">
        <v>512</v>
      </c>
      <c r="K18" s="4"/>
      <c r="L18" s="43" t="s">
        <v>808</v>
      </c>
      <c r="M18" s="4"/>
      <c r="N18" s="4"/>
      <c r="O18" s="4"/>
      <c r="P18" s="4"/>
    </row>
    <row r="19" spans="1:16" ht="72" x14ac:dyDescent="0.25">
      <c r="A19" s="3">
        <v>13</v>
      </c>
      <c r="B19" s="4" t="s">
        <v>18</v>
      </c>
      <c r="C19" s="4" t="s">
        <v>528</v>
      </c>
      <c r="D19" s="4" t="s">
        <v>529</v>
      </c>
      <c r="E19" s="4" t="s">
        <v>21</v>
      </c>
      <c r="F19" s="4" t="s">
        <v>22</v>
      </c>
      <c r="G19" s="4" t="s">
        <v>23</v>
      </c>
      <c r="H19" s="4" t="s">
        <v>24</v>
      </c>
      <c r="I19" s="4" t="s">
        <v>530</v>
      </c>
      <c r="J19" s="4" t="s">
        <v>504</v>
      </c>
      <c r="K19" s="4"/>
      <c r="L19" s="43" t="s">
        <v>808</v>
      </c>
      <c r="M19" s="4"/>
      <c r="N19" s="4"/>
      <c r="O19" s="4"/>
      <c r="P19" s="4"/>
    </row>
    <row r="20" spans="1:16" x14ac:dyDescent="0.25">
      <c r="A20" s="46" t="s">
        <v>531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</row>
    <row r="21" spans="1:16" ht="132" x14ac:dyDescent="0.25">
      <c r="A21" s="3">
        <v>14</v>
      </c>
      <c r="B21" s="4" t="s">
        <v>18</v>
      </c>
      <c r="C21" s="4" t="s">
        <v>532</v>
      </c>
      <c r="D21" s="4" t="s">
        <v>533</v>
      </c>
      <c r="E21" s="4" t="s">
        <v>21</v>
      </c>
      <c r="F21" s="4" t="s">
        <v>22</v>
      </c>
      <c r="G21" s="4" t="s">
        <v>23</v>
      </c>
      <c r="H21" s="4" t="s">
        <v>24</v>
      </c>
      <c r="I21" s="4" t="s">
        <v>534</v>
      </c>
      <c r="J21" s="4" t="s">
        <v>535</v>
      </c>
      <c r="K21" s="4"/>
      <c r="L21" s="43" t="s">
        <v>808</v>
      </c>
      <c r="M21" s="4"/>
      <c r="N21" s="4"/>
      <c r="O21" s="4"/>
      <c r="P21" s="4"/>
    </row>
    <row r="22" spans="1:16" ht="156" x14ac:dyDescent="0.25">
      <c r="A22" s="3">
        <v>15</v>
      </c>
      <c r="B22" s="4" t="s">
        <v>18</v>
      </c>
      <c r="C22" s="4" t="s">
        <v>536</v>
      </c>
      <c r="D22" s="4" t="s">
        <v>537</v>
      </c>
      <c r="E22" s="4" t="s">
        <v>21</v>
      </c>
      <c r="F22" s="4" t="s">
        <v>22</v>
      </c>
      <c r="G22" s="4" t="s">
        <v>23</v>
      </c>
      <c r="H22" s="4" t="s">
        <v>24</v>
      </c>
      <c r="I22" s="4" t="s">
        <v>538</v>
      </c>
      <c r="J22" s="4" t="s">
        <v>535</v>
      </c>
      <c r="K22" s="4"/>
      <c r="L22" s="43" t="s">
        <v>808</v>
      </c>
      <c r="M22" s="4"/>
      <c r="N22" s="4"/>
      <c r="O22" s="4"/>
      <c r="P22" s="4"/>
    </row>
    <row r="23" spans="1:16" ht="144" x14ac:dyDescent="0.25">
      <c r="A23" s="3">
        <v>16</v>
      </c>
      <c r="B23" s="4" t="s">
        <v>18</v>
      </c>
      <c r="C23" s="4" t="s">
        <v>539</v>
      </c>
      <c r="D23" s="4" t="s">
        <v>540</v>
      </c>
      <c r="E23" s="4" t="s">
        <v>97</v>
      </c>
      <c r="F23" s="4" t="s">
        <v>22</v>
      </c>
      <c r="G23" s="4" t="s">
        <v>23</v>
      </c>
      <c r="H23" s="4" t="s">
        <v>24</v>
      </c>
      <c r="I23" s="4" t="s">
        <v>541</v>
      </c>
      <c r="J23" s="4" t="s">
        <v>535</v>
      </c>
      <c r="K23" s="4"/>
      <c r="L23" s="43" t="s">
        <v>808</v>
      </c>
      <c r="M23" s="4"/>
      <c r="N23" s="4"/>
      <c r="O23" s="4"/>
      <c r="P23" s="4"/>
    </row>
    <row r="24" spans="1:16" ht="264" x14ac:dyDescent="0.25">
      <c r="A24" s="3">
        <v>17</v>
      </c>
      <c r="B24" s="4" t="s">
        <v>18</v>
      </c>
      <c r="C24" s="4" t="s">
        <v>542</v>
      </c>
      <c r="D24" s="4" t="s">
        <v>543</v>
      </c>
      <c r="E24" s="4" t="s">
        <v>21</v>
      </c>
      <c r="F24" s="4" t="s">
        <v>22</v>
      </c>
      <c r="G24" s="4" t="s">
        <v>23</v>
      </c>
      <c r="H24" s="4" t="s">
        <v>24</v>
      </c>
      <c r="I24" s="4" t="s">
        <v>544</v>
      </c>
      <c r="J24" s="4" t="s">
        <v>545</v>
      </c>
      <c r="K24" s="4"/>
      <c r="L24" s="43" t="s">
        <v>808</v>
      </c>
      <c r="M24" s="4"/>
      <c r="N24" s="4"/>
      <c r="O24" s="4"/>
      <c r="P24" s="4"/>
    </row>
    <row r="25" spans="1:16" ht="192" x14ac:dyDescent="0.25">
      <c r="A25" s="3">
        <v>18</v>
      </c>
      <c r="B25" s="4" t="s">
        <v>18</v>
      </c>
      <c r="C25" s="4" t="s">
        <v>546</v>
      </c>
      <c r="D25" s="4" t="s">
        <v>547</v>
      </c>
      <c r="E25" s="4" t="s">
        <v>21</v>
      </c>
      <c r="F25" s="4" t="s">
        <v>22</v>
      </c>
      <c r="G25" s="4" t="s">
        <v>23</v>
      </c>
      <c r="H25" s="4" t="s">
        <v>24</v>
      </c>
      <c r="I25" s="4" t="s">
        <v>548</v>
      </c>
      <c r="J25" s="4" t="s">
        <v>549</v>
      </c>
      <c r="K25" s="4"/>
      <c r="L25" s="43" t="s">
        <v>808</v>
      </c>
      <c r="M25" s="4"/>
      <c r="N25" s="4"/>
      <c r="O25" s="4"/>
      <c r="P25" s="4"/>
    </row>
    <row r="26" spans="1:16" ht="216" x14ac:dyDescent="0.25">
      <c r="A26" s="3">
        <v>19</v>
      </c>
      <c r="B26" s="4" t="s">
        <v>18</v>
      </c>
      <c r="C26" s="4" t="s">
        <v>550</v>
      </c>
      <c r="D26" s="4" t="s">
        <v>551</v>
      </c>
      <c r="E26" s="4" t="s">
        <v>21</v>
      </c>
      <c r="F26" s="4" t="s">
        <v>22</v>
      </c>
      <c r="G26" s="4" t="s">
        <v>23</v>
      </c>
      <c r="H26" s="4" t="s">
        <v>24</v>
      </c>
      <c r="I26" s="4" t="s">
        <v>552</v>
      </c>
      <c r="J26" s="4" t="s">
        <v>549</v>
      </c>
      <c r="K26" s="4"/>
      <c r="L26" s="43" t="s">
        <v>808</v>
      </c>
      <c r="M26" s="4"/>
      <c r="N26" s="4"/>
      <c r="O26" s="4"/>
      <c r="P26" s="4"/>
    </row>
    <row r="27" spans="1:16" ht="180" x14ac:dyDescent="0.25">
      <c r="A27" s="3">
        <v>20</v>
      </c>
      <c r="B27" s="4" t="s">
        <v>18</v>
      </c>
      <c r="C27" s="4" t="s">
        <v>553</v>
      </c>
      <c r="D27" s="4" t="s">
        <v>554</v>
      </c>
      <c r="E27" s="4" t="s">
        <v>21</v>
      </c>
      <c r="F27" s="4" t="s">
        <v>22</v>
      </c>
      <c r="G27" s="4" t="s">
        <v>23</v>
      </c>
      <c r="H27" s="4" t="s">
        <v>24</v>
      </c>
      <c r="I27" s="4" t="s">
        <v>555</v>
      </c>
      <c r="J27" s="4" t="s">
        <v>556</v>
      </c>
      <c r="K27" s="4"/>
      <c r="L27" s="43" t="s">
        <v>808</v>
      </c>
      <c r="M27" s="4"/>
      <c r="N27" s="4"/>
      <c r="O27" s="4"/>
      <c r="P27" s="4"/>
    </row>
    <row r="28" spans="1:16" x14ac:dyDescent="0.25">
      <c r="A28" s="46" t="s">
        <v>557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</row>
    <row r="29" spans="1:16" ht="108" x14ac:dyDescent="0.25">
      <c r="A29" s="3">
        <v>21</v>
      </c>
      <c r="B29" s="4" t="s">
        <v>18</v>
      </c>
      <c r="C29" s="4" t="s">
        <v>558</v>
      </c>
      <c r="D29" s="4" t="s">
        <v>559</v>
      </c>
      <c r="E29" s="4" t="s">
        <v>21</v>
      </c>
      <c r="F29" s="4" t="s">
        <v>22</v>
      </c>
      <c r="G29" s="4" t="s">
        <v>23</v>
      </c>
      <c r="H29" s="4" t="s">
        <v>24</v>
      </c>
      <c r="I29" s="4" t="s">
        <v>560</v>
      </c>
      <c r="J29" s="4" t="s">
        <v>512</v>
      </c>
      <c r="K29" s="4"/>
      <c r="L29" s="43" t="s">
        <v>808</v>
      </c>
      <c r="M29" s="4"/>
      <c r="N29" s="4"/>
      <c r="O29" s="4"/>
      <c r="P29" s="4"/>
    </row>
    <row r="30" spans="1:16" ht="132" x14ac:dyDescent="0.25">
      <c r="A30" s="3">
        <v>22</v>
      </c>
      <c r="B30" s="4" t="s">
        <v>18</v>
      </c>
      <c r="C30" s="4" t="s">
        <v>561</v>
      </c>
      <c r="D30" s="4" t="s">
        <v>562</v>
      </c>
      <c r="E30" s="4" t="s">
        <v>21</v>
      </c>
      <c r="F30" s="4" t="s">
        <v>22</v>
      </c>
      <c r="G30" s="4" t="s">
        <v>23</v>
      </c>
      <c r="H30" s="4" t="s">
        <v>24</v>
      </c>
      <c r="I30" s="4" t="s">
        <v>563</v>
      </c>
      <c r="J30" s="4" t="s">
        <v>512</v>
      </c>
      <c r="K30" s="4"/>
      <c r="L30" s="43" t="s">
        <v>808</v>
      </c>
      <c r="M30" s="4"/>
      <c r="N30" s="4"/>
      <c r="O30" s="4"/>
      <c r="P30" s="4"/>
    </row>
    <row r="31" spans="1:16" ht="120" x14ac:dyDescent="0.25">
      <c r="A31" s="3">
        <v>23</v>
      </c>
      <c r="B31" s="4" t="s">
        <v>18</v>
      </c>
      <c r="C31" s="4" t="s">
        <v>564</v>
      </c>
      <c r="D31" s="4" t="s">
        <v>565</v>
      </c>
      <c r="E31" s="4" t="s">
        <v>21</v>
      </c>
      <c r="F31" s="4" t="s">
        <v>22</v>
      </c>
      <c r="G31" s="4" t="s">
        <v>23</v>
      </c>
      <c r="H31" s="4" t="s">
        <v>24</v>
      </c>
      <c r="I31" s="4" t="s">
        <v>566</v>
      </c>
      <c r="J31" s="4" t="s">
        <v>512</v>
      </c>
      <c r="K31" s="4"/>
      <c r="L31" s="43" t="s">
        <v>808</v>
      </c>
      <c r="M31" s="4"/>
      <c r="N31" s="4"/>
      <c r="O31" s="4"/>
      <c r="P31" s="4"/>
    </row>
    <row r="32" spans="1:16" ht="204" x14ac:dyDescent="0.25">
      <c r="A32" s="3">
        <v>24</v>
      </c>
      <c r="B32" s="4" t="s">
        <v>18</v>
      </c>
      <c r="C32" s="4" t="s">
        <v>567</v>
      </c>
      <c r="D32" s="4" t="s">
        <v>568</v>
      </c>
      <c r="E32" s="4" t="s">
        <v>21</v>
      </c>
      <c r="F32" s="4" t="s">
        <v>22</v>
      </c>
      <c r="G32" s="4" t="s">
        <v>23</v>
      </c>
      <c r="H32" s="4" t="s">
        <v>24</v>
      </c>
      <c r="I32" s="4" t="s">
        <v>569</v>
      </c>
      <c r="J32" s="4" t="s">
        <v>570</v>
      </c>
      <c r="K32" s="4"/>
      <c r="L32" s="43" t="s">
        <v>808</v>
      </c>
      <c r="M32" s="4"/>
      <c r="N32" s="4"/>
      <c r="O32" s="4"/>
      <c r="P32" s="4"/>
    </row>
    <row r="33" spans="1:16" ht="168" x14ac:dyDescent="0.25">
      <c r="A33" s="3">
        <v>25</v>
      </c>
      <c r="B33" s="4" t="s">
        <v>18</v>
      </c>
      <c r="C33" s="4" t="s">
        <v>571</v>
      </c>
      <c r="D33" s="4" t="s">
        <v>572</v>
      </c>
      <c r="E33" s="4" t="s">
        <v>21</v>
      </c>
      <c r="F33" s="4" t="s">
        <v>22</v>
      </c>
      <c r="G33" s="4" t="s">
        <v>23</v>
      </c>
      <c r="H33" s="4" t="s">
        <v>24</v>
      </c>
      <c r="I33" s="4" t="s">
        <v>573</v>
      </c>
      <c r="J33" s="4" t="s">
        <v>574</v>
      </c>
      <c r="K33" s="4"/>
      <c r="L33" s="43" t="s">
        <v>808</v>
      </c>
      <c r="M33" s="4"/>
      <c r="N33" s="4"/>
      <c r="O33" s="4"/>
      <c r="P33" s="4"/>
    </row>
    <row r="34" spans="1:16" ht="192" x14ac:dyDescent="0.25">
      <c r="A34" s="3">
        <v>26</v>
      </c>
      <c r="B34" s="4" t="s">
        <v>18</v>
      </c>
      <c r="C34" s="4" t="s">
        <v>575</v>
      </c>
      <c r="D34" s="4" t="s">
        <v>576</v>
      </c>
      <c r="E34" s="4" t="s">
        <v>21</v>
      </c>
      <c r="F34" s="4" t="s">
        <v>22</v>
      </c>
      <c r="G34" s="4" t="s">
        <v>23</v>
      </c>
      <c r="H34" s="4" t="s">
        <v>24</v>
      </c>
      <c r="I34" s="4" t="s">
        <v>577</v>
      </c>
      <c r="J34" s="4" t="s">
        <v>574</v>
      </c>
      <c r="K34" s="4"/>
      <c r="L34" s="43" t="s">
        <v>808</v>
      </c>
      <c r="M34" s="4"/>
      <c r="N34" s="4"/>
      <c r="O34" s="4"/>
      <c r="P34" s="4"/>
    </row>
    <row r="35" spans="1:16" ht="192" x14ac:dyDescent="0.25">
      <c r="A35" s="3">
        <v>27</v>
      </c>
      <c r="B35" s="4" t="s">
        <v>18</v>
      </c>
      <c r="C35" s="4" t="s">
        <v>578</v>
      </c>
      <c r="D35" s="4" t="s">
        <v>579</v>
      </c>
      <c r="E35" s="4" t="s">
        <v>21</v>
      </c>
      <c r="F35" s="4" t="s">
        <v>22</v>
      </c>
      <c r="G35" s="4" t="s">
        <v>23</v>
      </c>
      <c r="H35" s="4" t="s">
        <v>24</v>
      </c>
      <c r="I35" s="4" t="s">
        <v>580</v>
      </c>
      <c r="J35" s="4" t="s">
        <v>512</v>
      </c>
      <c r="K35" s="4"/>
      <c r="L35" s="43" t="s">
        <v>808</v>
      </c>
      <c r="M35" s="4"/>
      <c r="N35" s="4"/>
      <c r="O35" s="4"/>
      <c r="P35" s="4"/>
    </row>
    <row r="36" spans="1:16" x14ac:dyDescent="0.25">
      <c r="A36" s="46" t="s">
        <v>581</v>
      </c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</row>
    <row r="37" spans="1:16" ht="108" x14ac:dyDescent="0.25">
      <c r="A37" s="3">
        <v>28</v>
      </c>
      <c r="B37" s="4" t="s">
        <v>18</v>
      </c>
      <c r="C37" s="4" t="s">
        <v>582</v>
      </c>
      <c r="D37" s="4" t="s">
        <v>583</v>
      </c>
      <c r="E37" s="4" t="s">
        <v>21</v>
      </c>
      <c r="F37" s="4" t="s">
        <v>22</v>
      </c>
      <c r="G37" s="4" t="s">
        <v>23</v>
      </c>
      <c r="H37" s="4" t="s">
        <v>24</v>
      </c>
      <c r="I37" s="4" t="s">
        <v>584</v>
      </c>
      <c r="J37" s="4" t="s">
        <v>585</v>
      </c>
      <c r="K37" s="4"/>
      <c r="L37" s="43" t="s">
        <v>808</v>
      </c>
      <c r="M37" s="4"/>
      <c r="N37" s="4"/>
      <c r="O37" s="4"/>
      <c r="P37" s="4"/>
    </row>
    <row r="38" spans="1:16" x14ac:dyDescent="0.25">
      <c r="A38" s="46" t="s">
        <v>586</v>
      </c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spans="1:16" ht="132" x14ac:dyDescent="0.25">
      <c r="A39" s="3">
        <v>29</v>
      </c>
      <c r="B39" s="4" t="s">
        <v>18</v>
      </c>
      <c r="C39" s="4" t="s">
        <v>587</v>
      </c>
      <c r="D39" s="4" t="s">
        <v>588</v>
      </c>
      <c r="E39" s="4" t="s">
        <v>97</v>
      </c>
      <c r="F39" s="4" t="s">
        <v>22</v>
      </c>
      <c r="G39" s="4" t="s">
        <v>23</v>
      </c>
      <c r="H39" s="4" t="s">
        <v>24</v>
      </c>
      <c r="I39" s="4" t="s">
        <v>589</v>
      </c>
      <c r="J39" s="4" t="s">
        <v>590</v>
      </c>
      <c r="K39" s="4"/>
      <c r="L39" s="43" t="s">
        <v>808</v>
      </c>
      <c r="M39" s="4"/>
      <c r="N39" s="4"/>
      <c r="O39" s="4"/>
      <c r="P39" s="4"/>
    </row>
    <row r="40" spans="1:16" ht="108" x14ac:dyDescent="0.25">
      <c r="A40" s="3">
        <v>30</v>
      </c>
      <c r="B40" s="4" t="s">
        <v>18</v>
      </c>
      <c r="C40" s="4" t="s">
        <v>591</v>
      </c>
      <c r="D40" s="4" t="s">
        <v>592</v>
      </c>
      <c r="E40" s="4" t="s">
        <v>97</v>
      </c>
      <c r="F40" s="4" t="s">
        <v>22</v>
      </c>
      <c r="G40" s="4" t="s">
        <v>23</v>
      </c>
      <c r="H40" s="4" t="s">
        <v>24</v>
      </c>
      <c r="I40" s="4" t="s">
        <v>593</v>
      </c>
      <c r="J40" s="4" t="s">
        <v>594</v>
      </c>
      <c r="K40" s="4"/>
      <c r="L40" s="43" t="s">
        <v>808</v>
      </c>
      <c r="M40" s="4"/>
      <c r="N40" s="4"/>
      <c r="O40" s="4"/>
      <c r="P40" s="4"/>
    </row>
    <row r="41" spans="1:16" ht="96" x14ac:dyDescent="0.25">
      <c r="A41" s="3">
        <v>31</v>
      </c>
      <c r="B41" s="4" t="s">
        <v>18</v>
      </c>
      <c r="C41" s="4" t="s">
        <v>595</v>
      </c>
      <c r="D41" s="4" t="s">
        <v>596</v>
      </c>
      <c r="E41" s="4" t="s">
        <v>97</v>
      </c>
      <c r="F41" s="4" t="s">
        <v>22</v>
      </c>
      <c r="G41" s="4" t="s">
        <v>23</v>
      </c>
      <c r="H41" s="4" t="s">
        <v>24</v>
      </c>
      <c r="I41" s="4" t="s">
        <v>597</v>
      </c>
      <c r="J41" s="4" t="s">
        <v>598</v>
      </c>
      <c r="K41" s="4"/>
      <c r="L41" s="43" t="s">
        <v>808</v>
      </c>
      <c r="M41" s="4"/>
      <c r="N41" s="4"/>
      <c r="O41" s="4"/>
      <c r="P41" s="4"/>
    </row>
    <row r="42" spans="1:16" ht="48" x14ac:dyDescent="0.25">
      <c r="A42" s="3">
        <v>32</v>
      </c>
      <c r="B42" s="4" t="s">
        <v>18</v>
      </c>
      <c r="C42" s="4" t="s">
        <v>599</v>
      </c>
      <c r="D42" s="4" t="s">
        <v>600</v>
      </c>
      <c r="E42" s="4" t="s">
        <v>21</v>
      </c>
      <c r="F42" s="4" t="s">
        <v>22</v>
      </c>
      <c r="G42" s="4" t="s">
        <v>23</v>
      </c>
      <c r="H42" s="4" t="s">
        <v>24</v>
      </c>
      <c r="I42" s="4" t="s">
        <v>511</v>
      </c>
      <c r="J42" s="4" t="s">
        <v>512</v>
      </c>
      <c r="K42" s="4"/>
      <c r="L42" s="43" t="s">
        <v>808</v>
      </c>
      <c r="M42" s="4"/>
      <c r="N42" s="4"/>
      <c r="O42" s="4"/>
      <c r="P42" s="4"/>
    </row>
    <row r="43" spans="1:16" x14ac:dyDescent="0.25">
      <c r="A43" s="46" t="s">
        <v>601</v>
      </c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</row>
    <row r="44" spans="1:16" ht="36" x14ac:dyDescent="0.25">
      <c r="A44" s="3">
        <v>33</v>
      </c>
      <c r="B44" s="4" t="s">
        <v>18</v>
      </c>
      <c r="C44" s="4" t="s">
        <v>602</v>
      </c>
      <c r="D44" s="4" t="s">
        <v>603</v>
      </c>
      <c r="E44" s="4" t="s">
        <v>21</v>
      </c>
      <c r="F44" s="4" t="s">
        <v>22</v>
      </c>
      <c r="G44" s="4" t="s">
        <v>23</v>
      </c>
      <c r="H44" s="4" t="s">
        <v>24</v>
      </c>
      <c r="I44" s="4" t="s">
        <v>604</v>
      </c>
      <c r="J44" s="4" t="s">
        <v>605</v>
      </c>
      <c r="K44" s="4"/>
      <c r="L44" s="43" t="s">
        <v>808</v>
      </c>
      <c r="M44" s="4"/>
      <c r="N44" s="4"/>
      <c r="O44" s="4"/>
      <c r="P44" s="4"/>
    </row>
    <row r="45" spans="1:16" x14ac:dyDescent="0.25">
      <c r="A45" s="46" t="s">
        <v>606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</row>
    <row r="46" spans="1:16" ht="48" x14ac:dyDescent="0.25">
      <c r="A46" s="3">
        <v>34</v>
      </c>
      <c r="B46" s="4" t="s">
        <v>18</v>
      </c>
      <c r="C46" s="4" t="s">
        <v>607</v>
      </c>
      <c r="D46" s="4" t="s">
        <v>608</v>
      </c>
      <c r="E46" s="4" t="s">
        <v>97</v>
      </c>
      <c r="F46" s="4" t="s">
        <v>22</v>
      </c>
      <c r="G46" s="4" t="s">
        <v>23</v>
      </c>
      <c r="H46" s="4" t="s">
        <v>24</v>
      </c>
      <c r="I46" s="4" t="s">
        <v>609</v>
      </c>
      <c r="J46" s="4" t="s">
        <v>610</v>
      </c>
      <c r="K46" s="4"/>
      <c r="L46" s="43" t="s">
        <v>808</v>
      </c>
      <c r="M46" s="4"/>
      <c r="N46" s="4"/>
      <c r="O46" s="4"/>
      <c r="P46" s="4"/>
    </row>
    <row r="47" spans="1:16" ht="48" x14ac:dyDescent="0.25">
      <c r="A47" s="3">
        <v>35</v>
      </c>
      <c r="B47" s="4" t="s">
        <v>18</v>
      </c>
      <c r="C47" s="4" t="s">
        <v>611</v>
      </c>
      <c r="D47" s="4" t="s">
        <v>612</v>
      </c>
      <c r="E47" s="4" t="s">
        <v>97</v>
      </c>
      <c r="F47" s="4" t="s">
        <v>22</v>
      </c>
      <c r="G47" s="4" t="s">
        <v>23</v>
      </c>
      <c r="H47" s="4" t="s">
        <v>24</v>
      </c>
      <c r="I47" s="4" t="s">
        <v>613</v>
      </c>
      <c r="J47" s="4" t="s">
        <v>610</v>
      </c>
      <c r="K47" s="4"/>
      <c r="L47" s="43" t="s">
        <v>808</v>
      </c>
      <c r="M47" s="4"/>
      <c r="N47" s="4"/>
      <c r="O47" s="4"/>
      <c r="P47" s="4"/>
    </row>
    <row r="48" spans="1:16" x14ac:dyDescent="0.25">
      <c r="A48" s="51" t="s">
        <v>614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</row>
    <row r="49" spans="1:16" s="5" customFormat="1" ht="36" x14ac:dyDescent="0.25">
      <c r="A49" s="44"/>
      <c r="B49" s="4" t="s">
        <v>18</v>
      </c>
      <c r="C49" s="4" t="s">
        <v>615</v>
      </c>
      <c r="D49" s="59" t="s">
        <v>830</v>
      </c>
      <c r="E49" s="4" t="s">
        <v>21</v>
      </c>
      <c r="F49" s="4" t="s">
        <v>22</v>
      </c>
      <c r="G49" s="4" t="s">
        <v>23</v>
      </c>
      <c r="H49" s="4" t="s">
        <v>24</v>
      </c>
      <c r="I49" s="4"/>
      <c r="J49" s="59"/>
      <c r="K49" s="59" t="s">
        <v>831</v>
      </c>
      <c r="L49" s="43" t="s">
        <v>829</v>
      </c>
      <c r="M49" s="45"/>
      <c r="N49" s="45"/>
      <c r="O49" s="45"/>
      <c r="P49" s="45"/>
    </row>
    <row r="50" spans="1:16" s="5" customFormat="1" ht="36" x14ac:dyDescent="0.25">
      <c r="A50" s="3">
        <v>36</v>
      </c>
      <c r="B50" s="4" t="s">
        <v>18</v>
      </c>
      <c r="C50" s="4" t="s">
        <v>615</v>
      </c>
      <c r="D50" s="59" t="s">
        <v>830</v>
      </c>
      <c r="E50" s="4" t="s">
        <v>21</v>
      </c>
      <c r="F50" s="4" t="s">
        <v>22</v>
      </c>
      <c r="G50" s="4" t="s">
        <v>23</v>
      </c>
      <c r="H50" s="4" t="s">
        <v>24</v>
      </c>
      <c r="I50" s="4"/>
      <c r="J50" s="59"/>
      <c r="K50" s="59" t="s">
        <v>831</v>
      </c>
      <c r="L50" s="43" t="s">
        <v>829</v>
      </c>
      <c r="M50" s="4"/>
      <c r="N50" s="4"/>
      <c r="O50" s="4"/>
      <c r="P50" s="4"/>
    </row>
    <row r="51" spans="1:16" s="5" customFormat="1" ht="36" x14ac:dyDescent="0.25">
      <c r="A51" s="3">
        <v>36</v>
      </c>
      <c r="B51" s="4" t="s">
        <v>18</v>
      </c>
      <c r="C51" s="4" t="s">
        <v>615</v>
      </c>
      <c r="D51" s="4" t="s">
        <v>616</v>
      </c>
      <c r="E51" s="4" t="s">
        <v>21</v>
      </c>
      <c r="F51" s="4" t="s">
        <v>22</v>
      </c>
      <c r="G51" s="4" t="s">
        <v>23</v>
      </c>
      <c r="H51" s="4" t="s">
        <v>24</v>
      </c>
      <c r="I51" s="4"/>
      <c r="J51" s="59"/>
      <c r="K51" s="59" t="s">
        <v>831</v>
      </c>
      <c r="L51" s="43" t="s">
        <v>829</v>
      </c>
      <c r="M51" s="4"/>
      <c r="N51" s="4"/>
      <c r="O51" s="4"/>
      <c r="P51" s="4"/>
    </row>
    <row r="52" spans="1:16" ht="60" x14ac:dyDescent="0.25">
      <c r="A52" s="3">
        <v>36</v>
      </c>
      <c r="B52" s="4" t="s">
        <v>18</v>
      </c>
      <c r="C52" s="4" t="s">
        <v>615</v>
      </c>
      <c r="D52" s="4" t="s">
        <v>616</v>
      </c>
      <c r="E52" s="4" t="s">
        <v>21</v>
      </c>
      <c r="F52" s="4" t="s">
        <v>22</v>
      </c>
      <c r="G52" s="4" t="s">
        <v>23</v>
      </c>
      <c r="H52" s="4" t="s">
        <v>24</v>
      </c>
      <c r="I52" s="4" t="s">
        <v>617</v>
      </c>
      <c r="J52" s="59" t="s">
        <v>828</v>
      </c>
      <c r="K52" s="59" t="s">
        <v>827</v>
      </c>
      <c r="L52" s="43" t="s">
        <v>803</v>
      </c>
      <c r="M52" s="4"/>
      <c r="N52" s="4"/>
      <c r="O52" s="4"/>
      <c r="P52" s="4"/>
    </row>
    <row r="53" spans="1:16" x14ac:dyDescent="0.25">
      <c r="A53" s="46" t="s">
        <v>618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</row>
    <row r="54" spans="1:16" x14ac:dyDescent="0.25">
      <c r="A54" s="46" t="s">
        <v>619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</row>
    <row r="55" spans="1:16" ht="36" x14ac:dyDescent="0.25">
      <c r="A55" s="3">
        <v>37</v>
      </c>
      <c r="B55" s="4" t="s">
        <v>18</v>
      </c>
      <c r="C55" s="4" t="s">
        <v>620</v>
      </c>
      <c r="D55" s="4" t="s">
        <v>621</v>
      </c>
      <c r="E55" s="4" t="s">
        <v>21</v>
      </c>
      <c r="F55" s="4" t="s">
        <v>22</v>
      </c>
      <c r="G55" s="4" t="s">
        <v>23</v>
      </c>
      <c r="H55" s="4" t="s">
        <v>24</v>
      </c>
      <c r="I55" s="4" t="s">
        <v>622</v>
      </c>
      <c r="J55" s="4" t="s">
        <v>623</v>
      </c>
      <c r="K55" s="4"/>
      <c r="L55" s="43" t="s">
        <v>808</v>
      </c>
      <c r="M55" s="4"/>
      <c r="N55" s="4"/>
      <c r="O55" s="4"/>
      <c r="P55" s="4"/>
    </row>
    <row r="56" spans="1:16" ht="36" x14ac:dyDescent="0.25">
      <c r="A56" s="3">
        <v>38</v>
      </c>
      <c r="B56" s="4" t="s">
        <v>18</v>
      </c>
      <c r="C56" s="4" t="s">
        <v>624</v>
      </c>
      <c r="D56" s="4" t="s">
        <v>625</v>
      </c>
      <c r="E56" s="4" t="s">
        <v>21</v>
      </c>
      <c r="F56" s="4" t="s">
        <v>22</v>
      </c>
      <c r="G56" s="4" t="s">
        <v>23</v>
      </c>
      <c r="H56" s="4" t="s">
        <v>24</v>
      </c>
      <c r="I56" s="4" t="s">
        <v>626</v>
      </c>
      <c r="J56" s="4" t="s">
        <v>627</v>
      </c>
      <c r="K56" s="4"/>
      <c r="L56" s="43" t="s">
        <v>808</v>
      </c>
      <c r="M56" s="4"/>
      <c r="N56" s="4"/>
      <c r="O56" s="4"/>
      <c r="P56" s="4"/>
    </row>
    <row r="57" spans="1:16" x14ac:dyDescent="0.25">
      <c r="A57" s="46" t="s">
        <v>628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</row>
    <row r="58" spans="1:16" x14ac:dyDescent="0.25">
      <c r="A58" s="46" t="s">
        <v>629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</row>
    <row r="59" spans="1:16" ht="84" x14ac:dyDescent="0.25">
      <c r="A59" s="3">
        <v>39</v>
      </c>
      <c r="B59" s="4" t="s">
        <v>18</v>
      </c>
      <c r="C59" s="4" t="s">
        <v>630</v>
      </c>
      <c r="D59" s="4" t="s">
        <v>631</v>
      </c>
      <c r="E59" s="4" t="s">
        <v>21</v>
      </c>
      <c r="F59" s="4" t="s">
        <v>22</v>
      </c>
      <c r="G59" s="4" t="s">
        <v>23</v>
      </c>
      <c r="H59" s="4" t="s">
        <v>24</v>
      </c>
      <c r="I59" s="4" t="s">
        <v>632</v>
      </c>
      <c r="J59" s="59" t="s">
        <v>832</v>
      </c>
      <c r="K59" s="59" t="s">
        <v>823</v>
      </c>
      <c r="L59" s="43" t="s">
        <v>803</v>
      </c>
      <c r="M59" s="4"/>
      <c r="N59" s="4"/>
      <c r="O59" s="4"/>
      <c r="P59" s="4"/>
    </row>
    <row r="60" spans="1:16" ht="84" x14ac:dyDescent="0.25">
      <c r="A60" s="3">
        <v>40</v>
      </c>
      <c r="B60" s="4" t="s">
        <v>18</v>
      </c>
      <c r="C60" s="4" t="s">
        <v>634</v>
      </c>
      <c r="D60" s="4" t="s">
        <v>635</v>
      </c>
      <c r="E60" s="4" t="s">
        <v>21</v>
      </c>
      <c r="F60" s="4" t="s">
        <v>22</v>
      </c>
      <c r="G60" s="4" t="s">
        <v>23</v>
      </c>
      <c r="H60" s="4" t="s">
        <v>24</v>
      </c>
      <c r="I60" s="4" t="s">
        <v>636</v>
      </c>
      <c r="J60" s="4" t="s">
        <v>633</v>
      </c>
      <c r="K60" s="4"/>
      <c r="L60" s="43" t="s">
        <v>803</v>
      </c>
      <c r="M60" s="4"/>
      <c r="N60" s="4"/>
      <c r="O60" s="4"/>
      <c r="P60" s="4"/>
    </row>
    <row r="61" spans="1:16" ht="96" x14ac:dyDescent="0.25">
      <c r="A61" s="3">
        <v>41</v>
      </c>
      <c r="B61" s="4" t="s">
        <v>18</v>
      </c>
      <c r="C61" s="4" t="s">
        <v>637</v>
      </c>
      <c r="D61" s="4" t="s">
        <v>638</v>
      </c>
      <c r="E61" s="4" t="s">
        <v>21</v>
      </c>
      <c r="F61" s="4" t="s">
        <v>22</v>
      </c>
      <c r="G61" s="4" t="s">
        <v>23</v>
      </c>
      <c r="H61" s="4" t="s">
        <v>24</v>
      </c>
      <c r="I61" s="4" t="s">
        <v>495</v>
      </c>
      <c r="J61" s="4" t="s">
        <v>496</v>
      </c>
      <c r="K61" s="62" t="s">
        <v>824</v>
      </c>
      <c r="L61" s="43" t="s">
        <v>803</v>
      </c>
      <c r="M61" s="4"/>
      <c r="N61" s="4"/>
      <c r="O61" s="4"/>
      <c r="P61" s="4"/>
    </row>
    <row r="62" spans="1:16" ht="96" x14ac:dyDescent="0.25">
      <c r="A62" s="3">
        <v>42</v>
      </c>
      <c r="B62" s="4" t="s">
        <v>18</v>
      </c>
      <c r="C62" s="4" t="s">
        <v>639</v>
      </c>
      <c r="D62" s="4" t="s">
        <v>640</v>
      </c>
      <c r="E62" s="4" t="s">
        <v>21</v>
      </c>
      <c r="F62" s="4" t="s">
        <v>22</v>
      </c>
      <c r="G62" s="4" t="s">
        <v>23</v>
      </c>
      <c r="H62" s="4" t="s">
        <v>24</v>
      </c>
      <c r="I62" s="4" t="s">
        <v>499</v>
      </c>
      <c r="J62" s="4" t="s">
        <v>500</v>
      </c>
      <c r="K62" s="62" t="s">
        <v>824</v>
      </c>
      <c r="L62" s="43" t="s">
        <v>803</v>
      </c>
      <c r="M62" s="4"/>
      <c r="N62" s="4"/>
      <c r="O62" s="4"/>
      <c r="P62" s="4"/>
    </row>
    <row r="63" spans="1:16" ht="108" x14ac:dyDescent="0.25">
      <c r="A63" s="3">
        <v>43</v>
      </c>
      <c r="B63" s="4" t="s">
        <v>18</v>
      </c>
      <c r="C63" s="4" t="s">
        <v>641</v>
      </c>
      <c r="D63" s="4" t="s">
        <v>642</v>
      </c>
      <c r="E63" s="4" t="s">
        <v>21</v>
      </c>
      <c r="F63" s="4" t="s">
        <v>22</v>
      </c>
      <c r="G63" s="4" t="s">
        <v>23</v>
      </c>
      <c r="H63" s="4" t="s">
        <v>24</v>
      </c>
      <c r="I63" s="4" t="s">
        <v>643</v>
      </c>
      <c r="J63" s="4" t="s">
        <v>644</v>
      </c>
      <c r="K63" s="4"/>
      <c r="L63" s="43" t="s">
        <v>808</v>
      </c>
      <c r="M63" s="4"/>
      <c r="N63" s="4"/>
      <c r="O63" s="4"/>
      <c r="P63" s="4"/>
    </row>
    <row r="64" spans="1:16" ht="108" x14ac:dyDescent="0.25">
      <c r="A64" s="3">
        <v>44</v>
      </c>
      <c r="B64" s="4" t="s">
        <v>18</v>
      </c>
      <c r="C64" s="4" t="s">
        <v>645</v>
      </c>
      <c r="D64" s="4" t="s">
        <v>646</v>
      </c>
      <c r="E64" s="4" t="s">
        <v>21</v>
      </c>
      <c r="F64" s="4" t="s">
        <v>22</v>
      </c>
      <c r="G64" s="4" t="s">
        <v>23</v>
      </c>
      <c r="H64" s="4" t="s">
        <v>24</v>
      </c>
      <c r="I64" s="4" t="s">
        <v>647</v>
      </c>
      <c r="J64" s="4" t="s">
        <v>648</v>
      </c>
      <c r="K64" s="59" t="s">
        <v>826</v>
      </c>
      <c r="L64" s="43" t="s">
        <v>803</v>
      </c>
      <c r="M64" s="4"/>
      <c r="N64" s="4"/>
      <c r="O64" s="4"/>
      <c r="P64" s="4"/>
    </row>
    <row r="65" spans="1:16" x14ac:dyDescent="0.25">
      <c r="A65" s="46" t="s">
        <v>649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</row>
    <row r="66" spans="1:16" ht="84" x14ac:dyDescent="0.25">
      <c r="A66" s="3">
        <v>45</v>
      </c>
      <c r="B66" s="4" t="s">
        <v>18</v>
      </c>
      <c r="C66" s="4" t="s">
        <v>650</v>
      </c>
      <c r="D66" s="4" t="s">
        <v>651</v>
      </c>
      <c r="E66" s="4" t="s">
        <v>21</v>
      </c>
      <c r="F66" s="4" t="s">
        <v>22</v>
      </c>
      <c r="G66" s="4" t="s">
        <v>23</v>
      </c>
      <c r="H66" s="4" t="s">
        <v>24</v>
      </c>
      <c r="I66" s="4" t="s">
        <v>652</v>
      </c>
      <c r="J66" s="4" t="s">
        <v>653</v>
      </c>
      <c r="K66" s="4"/>
      <c r="L66" s="43" t="s">
        <v>808</v>
      </c>
      <c r="M66" s="4"/>
      <c r="N66" s="4"/>
      <c r="O66" s="4"/>
      <c r="P66" s="4"/>
    </row>
    <row r="67" spans="1:16" ht="72" x14ac:dyDescent="0.25">
      <c r="A67" s="3">
        <v>46</v>
      </c>
      <c r="B67" s="4" t="s">
        <v>18</v>
      </c>
      <c r="C67" s="4" t="s">
        <v>654</v>
      </c>
      <c r="D67" s="4" t="s">
        <v>655</v>
      </c>
      <c r="E67" s="4" t="s">
        <v>21</v>
      </c>
      <c r="F67" s="4" t="s">
        <v>22</v>
      </c>
      <c r="G67" s="4" t="s">
        <v>23</v>
      </c>
      <c r="H67" s="4" t="s">
        <v>24</v>
      </c>
      <c r="I67" s="4" t="s">
        <v>656</v>
      </c>
      <c r="J67" s="4" t="s">
        <v>657</v>
      </c>
      <c r="K67" s="4"/>
      <c r="L67" s="43" t="s">
        <v>808</v>
      </c>
      <c r="M67" s="4"/>
      <c r="N67" s="4"/>
      <c r="O67" s="4"/>
      <c r="P67" s="4"/>
    </row>
    <row r="68" spans="1:16" ht="96" x14ac:dyDescent="0.25">
      <c r="A68" s="3">
        <v>47</v>
      </c>
      <c r="B68" s="4" t="s">
        <v>18</v>
      </c>
      <c r="C68" s="4" t="s">
        <v>658</v>
      </c>
      <c r="D68" s="4" t="s">
        <v>659</v>
      </c>
      <c r="E68" s="4" t="s">
        <v>21</v>
      </c>
      <c r="F68" s="4" t="s">
        <v>22</v>
      </c>
      <c r="G68" s="4" t="s">
        <v>23</v>
      </c>
      <c r="H68" s="4" t="s">
        <v>24</v>
      </c>
      <c r="I68" s="4" t="s">
        <v>495</v>
      </c>
      <c r="J68" s="4" t="s">
        <v>496</v>
      </c>
      <c r="K68" s="4"/>
      <c r="L68" s="43" t="s">
        <v>808</v>
      </c>
      <c r="M68" s="4"/>
      <c r="N68" s="4"/>
      <c r="O68" s="4"/>
      <c r="P68" s="4"/>
    </row>
    <row r="69" spans="1:16" ht="96" x14ac:dyDescent="0.25">
      <c r="A69" s="3">
        <v>48</v>
      </c>
      <c r="B69" s="4" t="s">
        <v>18</v>
      </c>
      <c r="C69" s="4" t="s">
        <v>660</v>
      </c>
      <c r="D69" s="4" t="s">
        <v>661</v>
      </c>
      <c r="E69" s="4" t="s">
        <v>21</v>
      </c>
      <c r="F69" s="4" t="s">
        <v>22</v>
      </c>
      <c r="G69" s="4" t="s">
        <v>23</v>
      </c>
      <c r="H69" s="4" t="s">
        <v>24</v>
      </c>
      <c r="I69" s="4" t="s">
        <v>662</v>
      </c>
      <c r="J69" s="4" t="s">
        <v>657</v>
      </c>
      <c r="K69" s="4"/>
      <c r="L69" s="43" t="s">
        <v>808</v>
      </c>
      <c r="M69" s="4"/>
      <c r="N69" s="4"/>
      <c r="O69" s="4"/>
      <c r="P69" s="4"/>
    </row>
    <row r="70" spans="1:16" ht="96" x14ac:dyDescent="0.25">
      <c r="A70" s="3">
        <v>49</v>
      </c>
      <c r="B70" s="4" t="s">
        <v>18</v>
      </c>
      <c r="C70" s="4" t="s">
        <v>663</v>
      </c>
      <c r="D70" s="4" t="s">
        <v>664</v>
      </c>
      <c r="E70" s="4" t="s">
        <v>21</v>
      </c>
      <c r="F70" s="4" t="s">
        <v>22</v>
      </c>
      <c r="G70" s="4" t="s">
        <v>23</v>
      </c>
      <c r="H70" s="4" t="s">
        <v>24</v>
      </c>
      <c r="I70" s="4" t="s">
        <v>665</v>
      </c>
      <c r="J70" s="4" t="s">
        <v>657</v>
      </c>
      <c r="K70" s="59" t="s">
        <v>826</v>
      </c>
      <c r="L70" s="43" t="s">
        <v>803</v>
      </c>
      <c r="M70" s="4"/>
      <c r="N70" s="4"/>
      <c r="O70" s="4"/>
      <c r="P70" s="4"/>
    </row>
    <row r="71" spans="1:16" ht="108" x14ac:dyDescent="0.25">
      <c r="A71" s="3">
        <v>50</v>
      </c>
      <c r="B71" s="4" t="s">
        <v>18</v>
      </c>
      <c r="C71" s="4" t="s">
        <v>666</v>
      </c>
      <c r="D71" s="4" t="s">
        <v>667</v>
      </c>
      <c r="E71" s="4" t="s">
        <v>21</v>
      </c>
      <c r="F71" s="4" t="s">
        <v>22</v>
      </c>
      <c r="G71" s="4" t="s">
        <v>23</v>
      </c>
      <c r="H71" s="4" t="s">
        <v>24</v>
      </c>
      <c r="I71" s="4" t="s">
        <v>668</v>
      </c>
      <c r="J71" s="4" t="s">
        <v>653</v>
      </c>
      <c r="K71" s="4"/>
      <c r="L71" s="43" t="s">
        <v>808</v>
      </c>
      <c r="M71" s="4"/>
      <c r="N71" s="4"/>
      <c r="O71" s="4"/>
      <c r="P71" s="4"/>
    </row>
    <row r="72" spans="1:16" ht="120" x14ac:dyDescent="0.25">
      <c r="A72" s="3">
        <v>51</v>
      </c>
      <c r="B72" s="4" t="s">
        <v>18</v>
      </c>
      <c r="C72" s="4" t="s">
        <v>669</v>
      </c>
      <c r="D72" s="4" t="s">
        <v>670</v>
      </c>
      <c r="E72" s="4" t="s">
        <v>21</v>
      </c>
      <c r="F72" s="4" t="s">
        <v>22</v>
      </c>
      <c r="G72" s="4" t="s">
        <v>23</v>
      </c>
      <c r="H72" s="4" t="s">
        <v>24</v>
      </c>
      <c r="I72" s="4" t="s">
        <v>671</v>
      </c>
      <c r="J72" s="4" t="s">
        <v>496</v>
      </c>
      <c r="K72" s="4"/>
      <c r="L72" s="43" t="s">
        <v>808</v>
      </c>
      <c r="M72" s="4"/>
      <c r="N72" s="4"/>
      <c r="O72" s="4"/>
      <c r="P72" s="4"/>
    </row>
    <row r="73" spans="1:16" x14ac:dyDescent="0.25">
      <c r="A73" s="46" t="s">
        <v>672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</row>
    <row r="74" spans="1:16" ht="180" x14ac:dyDescent="0.25">
      <c r="A74" s="3">
        <v>52</v>
      </c>
      <c r="B74" s="4" t="s">
        <v>18</v>
      </c>
      <c r="C74" s="4" t="s">
        <v>673</v>
      </c>
      <c r="D74" s="4" t="s">
        <v>833</v>
      </c>
      <c r="E74" s="4" t="s">
        <v>21</v>
      </c>
      <c r="F74" s="4" t="s">
        <v>22</v>
      </c>
      <c r="G74" s="4" t="s">
        <v>23</v>
      </c>
      <c r="H74" s="4" t="s">
        <v>24</v>
      </c>
      <c r="I74" s="4" t="s">
        <v>674</v>
      </c>
      <c r="J74" s="4" t="s">
        <v>675</v>
      </c>
      <c r="K74" s="4"/>
      <c r="L74" s="43" t="s">
        <v>808</v>
      </c>
      <c r="M74" s="4"/>
      <c r="N74" s="4"/>
      <c r="O74" s="4"/>
      <c r="P74" s="4"/>
    </row>
    <row r="75" spans="1:16" ht="204" x14ac:dyDescent="0.25">
      <c r="A75" s="3">
        <v>53</v>
      </c>
      <c r="B75" s="4" t="s">
        <v>18</v>
      </c>
      <c r="C75" s="4" t="s">
        <v>676</v>
      </c>
      <c r="D75" s="4" t="s">
        <v>677</v>
      </c>
      <c r="E75" s="4" t="s">
        <v>21</v>
      </c>
      <c r="F75" s="4" t="s">
        <v>22</v>
      </c>
      <c r="G75" s="4" t="s">
        <v>23</v>
      </c>
      <c r="H75" s="4" t="s">
        <v>24</v>
      </c>
      <c r="I75" s="4" t="s">
        <v>678</v>
      </c>
      <c r="J75" s="4" t="s">
        <v>675</v>
      </c>
      <c r="K75" s="4"/>
      <c r="L75" s="43" t="s">
        <v>808</v>
      </c>
      <c r="M75" s="4"/>
      <c r="N75" s="4"/>
      <c r="O75" s="4"/>
      <c r="P75" s="4"/>
    </row>
    <row r="76" spans="1:16" ht="192" x14ac:dyDescent="0.25">
      <c r="A76" s="3">
        <v>54</v>
      </c>
      <c r="B76" s="4" t="s">
        <v>18</v>
      </c>
      <c r="C76" s="4" t="s">
        <v>679</v>
      </c>
      <c r="D76" s="4" t="s">
        <v>680</v>
      </c>
      <c r="E76" s="4" t="s">
        <v>97</v>
      </c>
      <c r="F76" s="4" t="s">
        <v>22</v>
      </c>
      <c r="G76" s="4" t="s">
        <v>23</v>
      </c>
      <c r="H76" s="4" t="s">
        <v>24</v>
      </c>
      <c r="I76" s="4" t="s">
        <v>681</v>
      </c>
      <c r="J76" s="4" t="s">
        <v>675</v>
      </c>
      <c r="K76" s="4"/>
      <c r="L76" s="43" t="s">
        <v>808</v>
      </c>
      <c r="M76" s="4"/>
      <c r="N76" s="4"/>
      <c r="O76" s="4"/>
      <c r="P76" s="4"/>
    </row>
    <row r="77" spans="1:16" ht="336" x14ac:dyDescent="0.25">
      <c r="A77" s="3">
        <v>55</v>
      </c>
      <c r="B77" s="4" t="s">
        <v>18</v>
      </c>
      <c r="C77" s="4" t="s">
        <v>682</v>
      </c>
      <c r="D77" s="4" t="s">
        <v>683</v>
      </c>
      <c r="E77" s="4" t="s">
        <v>21</v>
      </c>
      <c r="F77" s="4" t="s">
        <v>22</v>
      </c>
      <c r="G77" s="4" t="s">
        <v>23</v>
      </c>
      <c r="H77" s="4" t="s">
        <v>24</v>
      </c>
      <c r="I77" s="4" t="s">
        <v>684</v>
      </c>
      <c r="J77" s="4" t="s">
        <v>685</v>
      </c>
      <c r="K77" s="4"/>
      <c r="L77" s="43" t="s">
        <v>808</v>
      </c>
      <c r="M77" s="4"/>
      <c r="N77" s="4"/>
      <c r="O77" s="4"/>
      <c r="P77" s="4"/>
    </row>
    <row r="78" spans="1:16" ht="288" x14ac:dyDescent="0.25">
      <c r="A78" s="3">
        <v>56</v>
      </c>
      <c r="B78" s="4" t="s">
        <v>18</v>
      </c>
      <c r="C78" s="4" t="s">
        <v>686</v>
      </c>
      <c r="D78" s="4" t="s">
        <v>687</v>
      </c>
      <c r="E78" s="4" t="s">
        <v>21</v>
      </c>
      <c r="F78" s="4" t="s">
        <v>22</v>
      </c>
      <c r="G78" s="4" t="s">
        <v>23</v>
      </c>
      <c r="H78" s="4" t="s">
        <v>24</v>
      </c>
      <c r="I78" s="4" t="s">
        <v>688</v>
      </c>
      <c r="J78" s="4" t="s">
        <v>689</v>
      </c>
      <c r="K78" s="4"/>
      <c r="L78" s="43" t="s">
        <v>808</v>
      </c>
      <c r="M78" s="4"/>
      <c r="N78" s="4"/>
      <c r="O78" s="4"/>
      <c r="P78" s="4"/>
    </row>
    <row r="79" spans="1:16" ht="312" x14ac:dyDescent="0.25">
      <c r="A79" s="3">
        <v>57</v>
      </c>
      <c r="B79" s="4" t="s">
        <v>18</v>
      </c>
      <c r="C79" s="4" t="s">
        <v>690</v>
      </c>
      <c r="D79" s="4" t="s">
        <v>691</v>
      </c>
      <c r="E79" s="4" t="s">
        <v>21</v>
      </c>
      <c r="F79" s="4" t="s">
        <v>22</v>
      </c>
      <c r="G79" s="4" t="s">
        <v>23</v>
      </c>
      <c r="H79" s="4" t="s">
        <v>24</v>
      </c>
      <c r="I79" s="4" t="s">
        <v>692</v>
      </c>
      <c r="J79" s="4" t="s">
        <v>689</v>
      </c>
      <c r="K79" s="4"/>
      <c r="L79" s="43" t="s">
        <v>808</v>
      </c>
      <c r="M79" s="4"/>
      <c r="N79" s="4"/>
      <c r="O79" s="4"/>
      <c r="P79" s="4"/>
    </row>
    <row r="80" spans="1:16" ht="228" x14ac:dyDescent="0.25">
      <c r="A80" s="3">
        <v>58</v>
      </c>
      <c r="B80" s="4" t="s">
        <v>18</v>
      </c>
      <c r="C80" s="4" t="s">
        <v>693</v>
      </c>
      <c r="D80" s="4" t="s">
        <v>694</v>
      </c>
      <c r="E80" s="4" t="s">
        <v>21</v>
      </c>
      <c r="F80" s="4" t="s">
        <v>22</v>
      </c>
      <c r="G80" s="4" t="s">
        <v>23</v>
      </c>
      <c r="H80" s="4" t="s">
        <v>24</v>
      </c>
      <c r="I80" s="4" t="s">
        <v>695</v>
      </c>
      <c r="J80" s="4" t="s">
        <v>696</v>
      </c>
      <c r="K80" s="4"/>
      <c r="L80" s="43" t="s">
        <v>808</v>
      </c>
      <c r="M80" s="4"/>
      <c r="N80" s="4"/>
      <c r="O80" s="4"/>
      <c r="P80" s="4"/>
    </row>
    <row r="81" spans="1:16" x14ac:dyDescent="0.25">
      <c r="A81" s="46" t="s">
        <v>697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</row>
    <row r="82" spans="1:16" ht="156" x14ac:dyDescent="0.25">
      <c r="A82" s="3">
        <v>59</v>
      </c>
      <c r="B82" s="4" t="s">
        <v>18</v>
      </c>
      <c r="C82" s="4" t="s">
        <v>698</v>
      </c>
      <c r="D82" s="4" t="s">
        <v>699</v>
      </c>
      <c r="E82" s="4" t="s">
        <v>21</v>
      </c>
      <c r="F82" s="4" t="s">
        <v>22</v>
      </c>
      <c r="G82" s="4" t="s">
        <v>23</v>
      </c>
      <c r="H82" s="4" t="s">
        <v>24</v>
      </c>
      <c r="I82" s="4" t="s">
        <v>700</v>
      </c>
      <c r="J82" s="4" t="s">
        <v>653</v>
      </c>
      <c r="K82" s="4"/>
      <c r="L82" s="43" t="s">
        <v>808</v>
      </c>
      <c r="M82" s="4"/>
      <c r="N82" s="4"/>
      <c r="O82" s="4"/>
      <c r="P82" s="4"/>
    </row>
    <row r="83" spans="1:16" ht="180" x14ac:dyDescent="0.25">
      <c r="A83" s="3">
        <v>60</v>
      </c>
      <c r="B83" s="4" t="s">
        <v>18</v>
      </c>
      <c r="C83" s="4" t="s">
        <v>701</v>
      </c>
      <c r="D83" s="4" t="s">
        <v>702</v>
      </c>
      <c r="E83" s="4" t="s">
        <v>21</v>
      </c>
      <c r="F83" s="4" t="s">
        <v>22</v>
      </c>
      <c r="G83" s="4" t="s">
        <v>23</v>
      </c>
      <c r="H83" s="4" t="s">
        <v>24</v>
      </c>
      <c r="I83" s="4" t="s">
        <v>703</v>
      </c>
      <c r="J83" s="4" t="s">
        <v>653</v>
      </c>
      <c r="K83" s="4"/>
      <c r="L83" s="43" t="s">
        <v>808</v>
      </c>
      <c r="M83" s="4"/>
      <c r="N83" s="4"/>
      <c r="O83" s="4"/>
      <c r="P83" s="4"/>
    </row>
    <row r="84" spans="1:16" ht="168" x14ac:dyDescent="0.25">
      <c r="A84" s="3">
        <v>61</v>
      </c>
      <c r="B84" s="4" t="s">
        <v>18</v>
      </c>
      <c r="C84" s="4" t="s">
        <v>704</v>
      </c>
      <c r="D84" s="4" t="s">
        <v>705</v>
      </c>
      <c r="E84" s="4" t="s">
        <v>21</v>
      </c>
      <c r="F84" s="4" t="s">
        <v>22</v>
      </c>
      <c r="G84" s="4" t="s">
        <v>23</v>
      </c>
      <c r="H84" s="4" t="s">
        <v>24</v>
      </c>
      <c r="I84" s="4" t="s">
        <v>706</v>
      </c>
      <c r="J84" s="4" t="s">
        <v>653</v>
      </c>
      <c r="K84" s="4"/>
      <c r="L84" s="43" t="s">
        <v>808</v>
      </c>
      <c r="M84" s="4"/>
      <c r="N84" s="4"/>
      <c r="O84" s="4"/>
      <c r="P84" s="4"/>
    </row>
    <row r="85" spans="1:16" ht="276" x14ac:dyDescent="0.25">
      <c r="A85" s="3">
        <v>62</v>
      </c>
      <c r="B85" s="4" t="s">
        <v>18</v>
      </c>
      <c r="C85" s="4" t="s">
        <v>707</v>
      </c>
      <c r="D85" s="4" t="s">
        <v>708</v>
      </c>
      <c r="E85" s="4" t="s">
        <v>21</v>
      </c>
      <c r="F85" s="4" t="s">
        <v>22</v>
      </c>
      <c r="G85" s="4" t="s">
        <v>23</v>
      </c>
      <c r="H85" s="4" t="s">
        <v>24</v>
      </c>
      <c r="I85" s="4" t="s">
        <v>709</v>
      </c>
      <c r="J85" s="4" t="s">
        <v>710</v>
      </c>
      <c r="K85" s="4"/>
      <c r="L85" s="43" t="s">
        <v>808</v>
      </c>
      <c r="M85" s="4"/>
      <c r="N85" s="4"/>
      <c r="O85" s="4"/>
      <c r="P85" s="4"/>
    </row>
    <row r="86" spans="1:16" ht="264" x14ac:dyDescent="0.25">
      <c r="A86" s="3">
        <v>63</v>
      </c>
      <c r="B86" s="4" t="s">
        <v>18</v>
      </c>
      <c r="C86" s="4" t="s">
        <v>711</v>
      </c>
      <c r="D86" s="4" t="s">
        <v>712</v>
      </c>
      <c r="E86" s="4" t="s">
        <v>21</v>
      </c>
      <c r="F86" s="4" t="s">
        <v>22</v>
      </c>
      <c r="G86" s="4" t="s">
        <v>23</v>
      </c>
      <c r="H86" s="4" t="s">
        <v>24</v>
      </c>
      <c r="I86" s="4" t="s">
        <v>713</v>
      </c>
      <c r="J86" s="4" t="s">
        <v>714</v>
      </c>
      <c r="K86" s="4"/>
      <c r="L86" s="43" t="s">
        <v>808</v>
      </c>
      <c r="M86" s="4"/>
      <c r="N86" s="4"/>
      <c r="O86" s="4"/>
      <c r="P86" s="4"/>
    </row>
    <row r="87" spans="1:16" ht="288" x14ac:dyDescent="0.25">
      <c r="A87" s="3">
        <v>64</v>
      </c>
      <c r="B87" s="4" t="s">
        <v>18</v>
      </c>
      <c r="C87" s="4" t="s">
        <v>715</v>
      </c>
      <c r="D87" s="4" t="s">
        <v>716</v>
      </c>
      <c r="E87" s="4" t="s">
        <v>21</v>
      </c>
      <c r="F87" s="4" t="s">
        <v>22</v>
      </c>
      <c r="G87" s="4" t="s">
        <v>23</v>
      </c>
      <c r="H87" s="4" t="s">
        <v>24</v>
      </c>
      <c r="I87" s="4" t="s">
        <v>717</v>
      </c>
      <c r="J87" s="4" t="s">
        <v>714</v>
      </c>
      <c r="K87" s="4"/>
      <c r="L87" s="43" t="s">
        <v>808</v>
      </c>
      <c r="M87" s="4"/>
      <c r="N87" s="4"/>
      <c r="O87" s="4"/>
      <c r="P87" s="4"/>
    </row>
    <row r="88" spans="1:16" ht="240" x14ac:dyDescent="0.25">
      <c r="A88" s="3">
        <v>65</v>
      </c>
      <c r="B88" s="4" t="s">
        <v>18</v>
      </c>
      <c r="C88" s="4" t="s">
        <v>718</v>
      </c>
      <c r="D88" s="4" t="s">
        <v>719</v>
      </c>
      <c r="E88" s="4" t="s">
        <v>21</v>
      </c>
      <c r="F88" s="4" t="s">
        <v>22</v>
      </c>
      <c r="G88" s="4" t="s">
        <v>23</v>
      </c>
      <c r="H88" s="4" t="s">
        <v>24</v>
      </c>
      <c r="I88" s="4" t="s">
        <v>720</v>
      </c>
      <c r="J88" s="4" t="s">
        <v>653</v>
      </c>
      <c r="K88" s="4"/>
      <c r="L88" s="43" t="s">
        <v>808</v>
      </c>
      <c r="M88" s="4"/>
      <c r="N88" s="4"/>
      <c r="O88" s="4"/>
      <c r="P88" s="4"/>
    </row>
    <row r="89" spans="1:16" x14ac:dyDescent="0.25">
      <c r="A89" s="46" t="s">
        <v>721</v>
      </c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</row>
    <row r="90" spans="1:16" ht="156" x14ac:dyDescent="0.25">
      <c r="A90" s="3">
        <v>66</v>
      </c>
      <c r="B90" s="4" t="s">
        <v>18</v>
      </c>
      <c r="C90" s="4" t="s">
        <v>722</v>
      </c>
      <c r="D90" s="4" t="s">
        <v>723</v>
      </c>
      <c r="E90" s="4" t="s">
        <v>21</v>
      </c>
      <c r="F90" s="4" t="s">
        <v>22</v>
      </c>
      <c r="G90" s="4" t="s">
        <v>23</v>
      </c>
      <c r="H90" s="4" t="s">
        <v>24</v>
      </c>
      <c r="I90" s="4" t="s">
        <v>724</v>
      </c>
      <c r="J90" s="4" t="s">
        <v>725</v>
      </c>
      <c r="K90" s="4"/>
      <c r="L90" s="43" t="s">
        <v>808</v>
      </c>
      <c r="M90" s="4"/>
      <c r="N90" s="4"/>
      <c r="O90" s="4"/>
      <c r="P90" s="4"/>
    </row>
    <row r="91" spans="1:16" x14ac:dyDescent="0.25">
      <c r="A91" s="46" t="s">
        <v>726</v>
      </c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</row>
    <row r="92" spans="1:16" ht="228" x14ac:dyDescent="0.25">
      <c r="A92" s="3">
        <v>67</v>
      </c>
      <c r="B92" s="4" t="s">
        <v>18</v>
      </c>
      <c r="C92" s="4" t="s">
        <v>727</v>
      </c>
      <c r="D92" s="4" t="s">
        <v>728</v>
      </c>
      <c r="E92" s="4" t="s">
        <v>97</v>
      </c>
      <c r="F92" s="4" t="s">
        <v>22</v>
      </c>
      <c r="G92" s="4" t="s">
        <v>23</v>
      </c>
      <c r="H92" s="4" t="s">
        <v>24</v>
      </c>
      <c r="I92" s="4" t="s">
        <v>729</v>
      </c>
      <c r="J92" s="4" t="s">
        <v>730</v>
      </c>
      <c r="K92" s="4"/>
      <c r="L92" s="43" t="s">
        <v>808</v>
      </c>
      <c r="M92" s="4"/>
      <c r="N92" s="4"/>
      <c r="O92" s="4"/>
      <c r="P92" s="4"/>
    </row>
    <row r="93" spans="1:16" ht="204" x14ac:dyDescent="0.25">
      <c r="A93" s="3">
        <v>68</v>
      </c>
      <c r="B93" s="4" t="s">
        <v>18</v>
      </c>
      <c r="C93" s="4" t="s">
        <v>731</v>
      </c>
      <c r="D93" s="4" t="s">
        <v>732</v>
      </c>
      <c r="E93" s="4" t="s">
        <v>97</v>
      </c>
      <c r="F93" s="4" t="s">
        <v>22</v>
      </c>
      <c r="G93" s="4" t="s">
        <v>23</v>
      </c>
      <c r="H93" s="4" t="s">
        <v>24</v>
      </c>
      <c r="I93" s="4" t="s">
        <v>733</v>
      </c>
      <c r="J93" s="4" t="s">
        <v>734</v>
      </c>
      <c r="K93" s="4"/>
      <c r="L93" s="43" t="s">
        <v>808</v>
      </c>
      <c r="M93" s="4"/>
      <c r="N93" s="4"/>
      <c r="O93" s="4"/>
      <c r="P93" s="4"/>
    </row>
    <row r="94" spans="1:16" ht="168" x14ac:dyDescent="0.25">
      <c r="A94" s="3">
        <v>69</v>
      </c>
      <c r="B94" s="4" t="s">
        <v>18</v>
      </c>
      <c r="C94" s="4" t="s">
        <v>735</v>
      </c>
      <c r="D94" s="4" t="s">
        <v>736</v>
      </c>
      <c r="E94" s="4" t="s">
        <v>97</v>
      </c>
      <c r="F94" s="4" t="s">
        <v>22</v>
      </c>
      <c r="G94" s="4" t="s">
        <v>23</v>
      </c>
      <c r="H94" s="4" t="s">
        <v>24</v>
      </c>
      <c r="I94" s="4" t="s">
        <v>737</v>
      </c>
      <c r="J94" s="4" t="s">
        <v>738</v>
      </c>
      <c r="K94" s="4"/>
      <c r="L94" s="43" t="s">
        <v>808</v>
      </c>
      <c r="M94" s="4"/>
      <c r="N94" s="4"/>
      <c r="O94" s="4"/>
      <c r="P94" s="4"/>
    </row>
    <row r="95" spans="1:16" ht="84" x14ac:dyDescent="0.25">
      <c r="A95" s="3">
        <v>70</v>
      </c>
      <c r="B95" s="4" t="s">
        <v>18</v>
      </c>
      <c r="C95" s="4" t="s">
        <v>739</v>
      </c>
      <c r="D95" s="4" t="s">
        <v>740</v>
      </c>
      <c r="E95" s="4" t="s">
        <v>21</v>
      </c>
      <c r="F95" s="4" t="s">
        <v>22</v>
      </c>
      <c r="G95" s="4" t="s">
        <v>23</v>
      </c>
      <c r="H95" s="4" t="s">
        <v>24</v>
      </c>
      <c r="I95" s="4" t="s">
        <v>652</v>
      </c>
      <c r="J95" s="4" t="s">
        <v>653</v>
      </c>
      <c r="K95" s="4"/>
      <c r="L95" s="43" t="s">
        <v>808</v>
      </c>
      <c r="M95" s="4"/>
      <c r="N95" s="4"/>
      <c r="O95" s="4"/>
      <c r="P95" s="4"/>
    </row>
    <row r="96" spans="1:16" x14ac:dyDescent="0.25">
      <c r="A96" s="46" t="s">
        <v>741</v>
      </c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</row>
    <row r="97" spans="1:16" ht="84" x14ac:dyDescent="0.25">
      <c r="A97" s="3">
        <v>71</v>
      </c>
      <c r="B97" s="4" t="s">
        <v>18</v>
      </c>
      <c r="C97" s="4" t="s">
        <v>742</v>
      </c>
      <c r="D97" s="4" t="s">
        <v>743</v>
      </c>
      <c r="E97" s="4" t="s">
        <v>21</v>
      </c>
      <c r="F97" s="4" t="s">
        <v>22</v>
      </c>
      <c r="G97" s="4" t="s">
        <v>23</v>
      </c>
      <c r="H97" s="4" t="s">
        <v>24</v>
      </c>
      <c r="I97" s="4" t="s">
        <v>744</v>
      </c>
      <c r="J97" s="4" t="s">
        <v>745</v>
      </c>
      <c r="K97" s="4"/>
      <c r="L97" s="43" t="s">
        <v>808</v>
      </c>
      <c r="M97" s="4"/>
      <c r="N97" s="4"/>
      <c r="O97" s="4"/>
      <c r="P97" s="4"/>
    </row>
    <row r="98" spans="1:16" x14ac:dyDescent="0.25">
      <c r="A98" s="46" t="s">
        <v>746</v>
      </c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</row>
    <row r="99" spans="1:16" ht="72" x14ac:dyDescent="0.25">
      <c r="A99" s="3">
        <v>72</v>
      </c>
      <c r="B99" s="4" t="s">
        <v>18</v>
      </c>
      <c r="C99" s="4" t="s">
        <v>747</v>
      </c>
      <c r="D99" s="4" t="s">
        <v>748</v>
      </c>
      <c r="E99" s="4" t="s">
        <v>97</v>
      </c>
      <c r="F99" s="4" t="s">
        <v>22</v>
      </c>
      <c r="G99" s="4" t="s">
        <v>23</v>
      </c>
      <c r="H99" s="4" t="s">
        <v>24</v>
      </c>
      <c r="I99" s="4" t="s">
        <v>749</v>
      </c>
      <c r="J99" s="4" t="s">
        <v>750</v>
      </c>
      <c r="K99" s="4"/>
      <c r="L99" s="43" t="s">
        <v>808</v>
      </c>
      <c r="M99" s="4"/>
      <c r="N99" s="4"/>
      <c r="O99" s="4"/>
      <c r="P99" s="4"/>
    </row>
    <row r="100" spans="1:16" ht="72" x14ac:dyDescent="0.25">
      <c r="A100" s="3">
        <v>73</v>
      </c>
      <c r="B100" s="4" t="s">
        <v>18</v>
      </c>
      <c r="C100" s="4" t="s">
        <v>751</v>
      </c>
      <c r="D100" s="4" t="s">
        <v>752</v>
      </c>
      <c r="E100" s="4" t="s">
        <v>97</v>
      </c>
      <c r="F100" s="4" t="s">
        <v>22</v>
      </c>
      <c r="G100" s="4" t="s">
        <v>23</v>
      </c>
      <c r="H100" s="4" t="s">
        <v>24</v>
      </c>
      <c r="I100" s="4" t="s">
        <v>753</v>
      </c>
      <c r="J100" s="4" t="s">
        <v>750</v>
      </c>
      <c r="K100" s="4"/>
      <c r="L100" s="43" t="s">
        <v>808</v>
      </c>
      <c r="M100" s="4"/>
      <c r="N100" s="4"/>
      <c r="O100" s="4"/>
      <c r="P100" s="4"/>
    </row>
    <row r="101" spans="1:16" x14ac:dyDescent="0.25">
      <c r="A101" s="46" t="s">
        <v>754</v>
      </c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</row>
    <row r="102" spans="1:16" ht="72" x14ac:dyDescent="0.25">
      <c r="A102" s="3">
        <v>74</v>
      </c>
      <c r="B102" s="4" t="s">
        <v>18</v>
      </c>
      <c r="C102" s="4" t="s">
        <v>755</v>
      </c>
      <c r="D102" s="4" t="s">
        <v>756</v>
      </c>
      <c r="E102" s="4" t="s">
        <v>21</v>
      </c>
      <c r="F102" s="4" t="s">
        <v>22</v>
      </c>
      <c r="G102" s="4" t="s">
        <v>23</v>
      </c>
      <c r="H102" s="4" t="s">
        <v>24</v>
      </c>
      <c r="I102" s="4" t="s">
        <v>757</v>
      </c>
      <c r="J102" s="4" t="s">
        <v>750</v>
      </c>
      <c r="K102" s="4"/>
      <c r="L102" s="43" t="s">
        <v>808</v>
      </c>
      <c r="M102" s="4"/>
      <c r="N102" s="4"/>
      <c r="O102" s="4"/>
      <c r="P102" s="4"/>
    </row>
    <row r="103" spans="1:16" x14ac:dyDescent="0.25">
      <c r="A103" s="46" t="s">
        <v>758</v>
      </c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</row>
    <row r="104" spans="1:16" x14ac:dyDescent="0.25">
      <c r="A104" s="46" t="s">
        <v>759</v>
      </c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</row>
    <row r="105" spans="1:16" ht="84" x14ac:dyDescent="0.25">
      <c r="A105" s="3">
        <v>75</v>
      </c>
      <c r="B105" s="4" t="s">
        <v>18</v>
      </c>
      <c r="C105" s="4" t="s">
        <v>760</v>
      </c>
      <c r="D105" s="4" t="s">
        <v>761</v>
      </c>
      <c r="E105" s="4" t="s">
        <v>21</v>
      </c>
      <c r="F105" s="4" t="s">
        <v>22</v>
      </c>
      <c r="G105" s="4" t="s">
        <v>23</v>
      </c>
      <c r="H105" s="4" t="s">
        <v>24</v>
      </c>
      <c r="I105" s="59" t="s">
        <v>834</v>
      </c>
      <c r="J105" s="4" t="s">
        <v>762</v>
      </c>
      <c r="K105" s="59" t="s">
        <v>835</v>
      </c>
      <c r="L105" s="43" t="s">
        <v>803</v>
      </c>
      <c r="M105" s="4"/>
      <c r="N105" s="4"/>
      <c r="O105" s="4"/>
      <c r="P105" s="4"/>
    </row>
    <row r="106" spans="1:16" ht="72" x14ac:dyDescent="0.25">
      <c r="A106" s="3">
        <v>76</v>
      </c>
      <c r="B106" s="4" t="s">
        <v>18</v>
      </c>
      <c r="C106" s="4" t="s">
        <v>763</v>
      </c>
      <c r="D106" s="4" t="s">
        <v>764</v>
      </c>
      <c r="E106" s="4" t="s">
        <v>21</v>
      </c>
      <c r="F106" s="4" t="s">
        <v>22</v>
      </c>
      <c r="G106" s="4" t="s">
        <v>23</v>
      </c>
      <c r="H106" s="4" t="s">
        <v>24</v>
      </c>
      <c r="I106" s="4" t="s">
        <v>765</v>
      </c>
      <c r="J106" s="4" t="s">
        <v>766</v>
      </c>
      <c r="K106" s="59" t="s">
        <v>835</v>
      </c>
      <c r="L106" s="43" t="s">
        <v>803</v>
      </c>
      <c r="M106" s="4"/>
      <c r="N106" s="4"/>
      <c r="O106" s="4"/>
      <c r="P106" s="4"/>
    </row>
    <row r="107" spans="1:16" ht="84" x14ac:dyDescent="0.25">
      <c r="A107" s="3">
        <v>77</v>
      </c>
      <c r="B107" s="4" t="s">
        <v>18</v>
      </c>
      <c r="C107" s="4" t="s">
        <v>767</v>
      </c>
      <c r="D107" s="4" t="s">
        <v>768</v>
      </c>
      <c r="E107" s="4" t="s">
        <v>21</v>
      </c>
      <c r="F107" s="4" t="s">
        <v>22</v>
      </c>
      <c r="G107" s="4" t="s">
        <v>23</v>
      </c>
      <c r="H107" s="4" t="s">
        <v>24</v>
      </c>
      <c r="I107" s="4" t="s">
        <v>769</v>
      </c>
      <c r="J107" s="4" t="s">
        <v>770</v>
      </c>
      <c r="K107" s="59" t="s">
        <v>835</v>
      </c>
      <c r="L107" s="43" t="s">
        <v>803</v>
      </c>
      <c r="M107" s="4"/>
      <c r="N107" s="4"/>
      <c r="O107" s="4"/>
      <c r="P107" s="4"/>
    </row>
  </sheetData>
  <mergeCells count="34">
    <mergeCell ref="A101:P101"/>
    <mergeCell ref="A54:P54"/>
    <mergeCell ref="A36:P36"/>
    <mergeCell ref="A45:P45"/>
    <mergeCell ref="A91:P91"/>
    <mergeCell ref="A73:P73"/>
    <mergeCell ref="A81:P81"/>
    <mergeCell ref="A38:P38"/>
    <mergeCell ref="A28:P28"/>
    <mergeCell ref="A96:P96"/>
    <mergeCell ref="A2:A3"/>
    <mergeCell ref="A48:P48"/>
    <mergeCell ref="K2:K3"/>
    <mergeCell ref="A5:P5"/>
    <mergeCell ref="M2:M3"/>
    <mergeCell ref="B2:B3"/>
    <mergeCell ref="A4:P4"/>
    <mergeCell ref="A20:P20"/>
    <mergeCell ref="A104:P104"/>
    <mergeCell ref="C2:F2"/>
    <mergeCell ref="G2:G3"/>
    <mergeCell ref="I2:I3"/>
    <mergeCell ref="A57:P57"/>
    <mergeCell ref="J2:J3"/>
    <mergeCell ref="A98:P98"/>
    <mergeCell ref="L2:L3"/>
    <mergeCell ref="A89:P89"/>
    <mergeCell ref="A58:P58"/>
    <mergeCell ref="A12:P12"/>
    <mergeCell ref="A53:P53"/>
    <mergeCell ref="A65:P65"/>
    <mergeCell ref="A103:P103"/>
    <mergeCell ref="A43:P43"/>
    <mergeCell ref="H2:H3"/>
  </mergeCells>
  <phoneticPr fontId="4" type="noConversion"/>
  <conditionalFormatting sqref="L6:L11">
    <cfRule type="cellIs" dxfId="38" priority="37" operator="equal">
      <formula>"Fail"</formula>
    </cfRule>
  </conditionalFormatting>
  <conditionalFormatting sqref="L17">
    <cfRule type="cellIs" dxfId="37" priority="36" operator="equal">
      <formula>"Fail"</formula>
    </cfRule>
  </conditionalFormatting>
  <conditionalFormatting sqref="L24:L27">
    <cfRule type="cellIs" dxfId="36" priority="35" operator="equal">
      <formula>"Fail"</formula>
    </cfRule>
  </conditionalFormatting>
  <conditionalFormatting sqref="L29:L35">
    <cfRule type="cellIs" dxfId="35" priority="34" operator="equal">
      <formula>"Fail"</formula>
    </cfRule>
  </conditionalFormatting>
  <conditionalFormatting sqref="L37">
    <cfRule type="cellIs" dxfId="34" priority="33" operator="equal">
      <formula>"Fail"</formula>
    </cfRule>
  </conditionalFormatting>
  <conditionalFormatting sqref="L55:L56">
    <cfRule type="cellIs" dxfId="33" priority="28" operator="equal">
      <formula>"Fail"</formula>
    </cfRule>
  </conditionalFormatting>
  <conditionalFormatting sqref="L97">
    <cfRule type="cellIs" dxfId="23" priority="22" operator="equal">
      <formula>"Fail"</formula>
    </cfRule>
  </conditionalFormatting>
  <conditionalFormatting sqref="L99:L100">
    <cfRule type="cellIs" dxfId="22" priority="21" operator="equal">
      <formula>"Fail"</formula>
    </cfRule>
  </conditionalFormatting>
  <conditionalFormatting sqref="L102">
    <cfRule type="cellIs" dxfId="21" priority="20" operator="equal">
      <formula>"Fail"</formula>
    </cfRule>
  </conditionalFormatting>
  <conditionalFormatting sqref="L105:L107">
    <cfRule type="cellIs" dxfId="20" priority="19" operator="equal">
      <formula>"Fail"</formula>
    </cfRule>
  </conditionalFormatting>
  <conditionalFormatting sqref="L13:L16">
    <cfRule type="cellIs" dxfId="19" priority="18" operator="equal">
      <formula>"Fail"</formula>
    </cfRule>
  </conditionalFormatting>
  <conditionalFormatting sqref="L18:L19">
    <cfRule type="cellIs" dxfId="18" priority="17" operator="equal">
      <formula>"Fail"</formula>
    </cfRule>
  </conditionalFormatting>
  <conditionalFormatting sqref="L21:L23">
    <cfRule type="cellIs" dxfId="17" priority="16" operator="equal">
      <formula>"Fail"</formula>
    </cfRule>
  </conditionalFormatting>
  <conditionalFormatting sqref="L39:L42">
    <cfRule type="cellIs" dxfId="16" priority="15" operator="equal">
      <formula>"Fail"</formula>
    </cfRule>
  </conditionalFormatting>
  <conditionalFormatting sqref="L44">
    <cfRule type="cellIs" dxfId="15" priority="14" operator="equal">
      <formula>"Fail"</formula>
    </cfRule>
  </conditionalFormatting>
  <conditionalFormatting sqref="L46:L47">
    <cfRule type="cellIs" dxfId="14" priority="13" operator="equal">
      <formula>"Fail"</formula>
    </cfRule>
  </conditionalFormatting>
  <conditionalFormatting sqref="L52">
    <cfRule type="cellIs" dxfId="13" priority="12" operator="equal">
      <formula>"Fail"</formula>
    </cfRule>
  </conditionalFormatting>
  <conditionalFormatting sqref="L50:L51">
    <cfRule type="cellIs" dxfId="12" priority="11" operator="equal">
      <formula>"Fail"</formula>
    </cfRule>
  </conditionalFormatting>
  <conditionalFormatting sqref="L49">
    <cfRule type="cellIs" dxfId="10" priority="10" operator="equal">
      <formula>"Fail"</formula>
    </cfRule>
  </conditionalFormatting>
  <conditionalFormatting sqref="L59:L64">
    <cfRule type="cellIs" dxfId="8" priority="9" operator="equal">
      <formula>"Fail"</formula>
    </cfRule>
  </conditionalFormatting>
  <conditionalFormatting sqref="L70">
    <cfRule type="cellIs" dxfId="7" priority="8" operator="equal">
      <formula>"Fail"</formula>
    </cfRule>
  </conditionalFormatting>
  <conditionalFormatting sqref="L66:L69">
    <cfRule type="cellIs" dxfId="6" priority="7" operator="equal">
      <formula>"Fail"</formula>
    </cfRule>
  </conditionalFormatting>
  <conditionalFormatting sqref="L71:L72">
    <cfRule type="cellIs" dxfId="5" priority="6" operator="equal">
      <formula>"Fail"</formula>
    </cfRule>
  </conditionalFormatting>
  <conditionalFormatting sqref="L77:L80">
    <cfRule type="cellIs" dxfId="4" priority="5" operator="equal">
      <formula>"Fail"</formula>
    </cfRule>
  </conditionalFormatting>
  <conditionalFormatting sqref="L74:L76">
    <cfRule type="cellIs" dxfId="3" priority="4" operator="equal">
      <formula>"Fail"</formula>
    </cfRule>
  </conditionalFormatting>
  <conditionalFormatting sqref="L82:L88">
    <cfRule type="cellIs" dxfId="2" priority="3" operator="equal">
      <formula>"Fail"</formula>
    </cfRule>
  </conditionalFormatting>
  <conditionalFormatting sqref="L90">
    <cfRule type="cellIs" dxfId="1" priority="2" operator="equal">
      <formula>"Fail"</formula>
    </cfRule>
  </conditionalFormatting>
  <conditionalFormatting sqref="L92:L95">
    <cfRule type="cellIs" dxfId="0" priority="1" operator="equal">
      <formula>"Fail"</formula>
    </cfRule>
  </conditionalFormatting>
  <dataValidations count="1">
    <dataValidation type="list" allowBlank="1" showInputMessage="1" showErrorMessage="1" sqref="L92:L95 L6:L11 L13:L19 L21:L27 L37 L29:L35 L39:L42 L44 L46:L47 L49:L52 L55:L56 L59:L64 L66:L72 L74:L80 L90 L97 L99:L100 L102 L82:L88 L105:L107">
      <formula1>"Pass,Fail,Not Apply,Block,Skip"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activeCell="L21" sqref="L21"/>
    </sheetView>
  </sheetViews>
  <sheetFormatPr defaultColWidth="9" defaultRowHeight="30" customHeight="1" x14ac:dyDescent="0.25"/>
  <cols>
    <col min="1" max="1" width="6" style="11" customWidth="1"/>
    <col min="2" max="2" width="35.109375" style="11" customWidth="1"/>
    <col min="3" max="3" width="16.109375" style="37" customWidth="1"/>
    <col min="4" max="5" width="11.109375" style="37" customWidth="1"/>
    <col min="6" max="6" width="15.6640625" style="37" customWidth="1"/>
    <col min="7" max="7" width="14.33203125" style="37" customWidth="1"/>
    <col min="8" max="8" width="11.109375" style="37" customWidth="1"/>
    <col min="9" max="9" width="13.44140625" style="37" customWidth="1"/>
    <col min="10" max="10" width="16" style="11" customWidth="1"/>
    <col min="11" max="16384" width="9" style="11"/>
  </cols>
  <sheetData>
    <row r="1" spans="1:10" ht="15.6" x14ac:dyDescent="0.25">
      <c r="A1" s="6"/>
      <c r="B1" s="7"/>
      <c r="C1" s="8"/>
      <c r="D1" s="9"/>
      <c r="E1" s="9"/>
      <c r="F1" s="9"/>
      <c r="G1" s="9"/>
      <c r="H1" s="9"/>
      <c r="I1" s="9"/>
      <c r="J1" s="10"/>
    </row>
    <row r="2" spans="1:10" s="13" customFormat="1" ht="15.6" x14ac:dyDescent="0.25">
      <c r="A2" s="12"/>
      <c r="B2" s="53" t="s">
        <v>771</v>
      </c>
      <c r="C2" s="53"/>
      <c r="D2" s="53"/>
      <c r="E2" s="53"/>
      <c r="F2" s="53"/>
      <c r="G2" s="53"/>
      <c r="H2" s="53"/>
      <c r="I2" s="53"/>
      <c r="J2" s="10"/>
    </row>
    <row r="3" spans="1:10" s="13" customFormat="1" ht="39.6" x14ac:dyDescent="0.25">
      <c r="A3" s="12"/>
      <c r="B3" s="14" t="s">
        <v>772</v>
      </c>
      <c r="C3" s="15" t="s">
        <v>773</v>
      </c>
      <c r="D3" s="16" t="s">
        <v>774</v>
      </c>
      <c r="E3" s="16" t="s">
        <v>775</v>
      </c>
      <c r="F3" s="17" t="s">
        <v>776</v>
      </c>
      <c r="G3" s="18" t="s">
        <v>777</v>
      </c>
      <c r="H3" s="17" t="s">
        <v>778</v>
      </c>
      <c r="I3" s="19" t="s">
        <v>779</v>
      </c>
      <c r="J3" s="19" t="s">
        <v>780</v>
      </c>
    </row>
    <row r="4" spans="1:10" ht="15.6" x14ac:dyDescent="0.25">
      <c r="A4" s="20"/>
      <c r="B4" s="21" t="s">
        <v>781</v>
      </c>
      <c r="C4" s="22">
        <f t="shared" ref="C4:C9" si="0">SUM(D4:F4)</f>
        <v>125</v>
      </c>
      <c r="D4" s="22">
        <f>COUNTIF(DiagnosticSessionControl_0x10!L6:L533,"Pass")</f>
        <v>119</v>
      </c>
      <c r="E4" s="22">
        <f>COUNTIF(DiagnosticSessionControl_0x10!L6:L533,"Fail")</f>
        <v>6</v>
      </c>
      <c r="F4" s="22">
        <f>COUNTIF(DiagnosticSessionControl_0x10!L6:L533,"Block")</f>
        <v>0</v>
      </c>
      <c r="G4" s="23">
        <f t="shared" ref="G4:G9" si="1">D4/C4</f>
        <v>0.95199999999999996</v>
      </c>
      <c r="H4" s="23">
        <f t="shared" ref="H4:H9" si="2">E4/C4</f>
        <v>4.8000000000000001E-2</v>
      </c>
      <c r="I4" s="24">
        <f t="shared" ref="I4:I9" si="3">F4/C4</f>
        <v>0</v>
      </c>
      <c r="J4" s="24">
        <f>1-I4</f>
        <v>1</v>
      </c>
    </row>
    <row r="5" spans="1:10" ht="15.6" x14ac:dyDescent="0.25">
      <c r="A5" s="20"/>
      <c r="B5" s="21" t="s">
        <v>782</v>
      </c>
      <c r="C5" s="22">
        <f t="shared" si="0"/>
        <v>46</v>
      </c>
      <c r="D5" s="22">
        <f>COUNTIF(ECUReset_0x11!L6:L740,"Pass")</f>
        <v>42</v>
      </c>
      <c r="E5" s="22">
        <f>COUNTIF(ECUReset_0x11!L6:L740,"Fail")</f>
        <v>4</v>
      </c>
      <c r="F5" s="22">
        <f>COUNTIF(ECUReset_0x11!L6:L740,"Block")</f>
        <v>0</v>
      </c>
      <c r="G5" s="23">
        <f t="shared" si="1"/>
        <v>0.91304347826086951</v>
      </c>
      <c r="H5" s="23">
        <f t="shared" si="2"/>
        <v>8.6956521739130432E-2</v>
      </c>
      <c r="I5" s="24">
        <f t="shared" si="3"/>
        <v>0</v>
      </c>
      <c r="J5" s="24">
        <f t="shared" ref="J5:J15" si="4">1-I5</f>
        <v>1</v>
      </c>
    </row>
    <row r="6" spans="1:10" ht="15.6" x14ac:dyDescent="0.25">
      <c r="A6" s="20"/>
      <c r="B6" s="21" t="s">
        <v>783</v>
      </c>
      <c r="C6" s="22">
        <f t="shared" si="0"/>
        <v>12</v>
      </c>
      <c r="D6" s="22">
        <f>COUNTIF(ClearDiagnosticInformation_0x14!L6:L740,"Pass")</f>
        <v>5</v>
      </c>
      <c r="E6" s="22">
        <f>COUNTIF(ClearDiagnosticInformation_0x14!L6:L740,"Fail")</f>
        <v>7</v>
      </c>
      <c r="F6" s="22">
        <f>COUNTIF(ClearDiagnosticInformation_0x14!L6:L740,"Block")</f>
        <v>0</v>
      </c>
      <c r="G6" s="23">
        <f t="shared" si="1"/>
        <v>0.41666666666666669</v>
      </c>
      <c r="H6" s="23">
        <f t="shared" si="2"/>
        <v>0.58333333333333337</v>
      </c>
      <c r="I6" s="24">
        <f t="shared" si="3"/>
        <v>0</v>
      </c>
      <c r="J6" s="24">
        <f t="shared" si="4"/>
        <v>1</v>
      </c>
    </row>
    <row r="7" spans="1:10" ht="15.6" x14ac:dyDescent="0.25">
      <c r="A7" s="20"/>
      <c r="B7" s="21" t="s">
        <v>784</v>
      </c>
      <c r="C7" s="22"/>
      <c r="D7" s="22"/>
      <c r="E7" s="22"/>
      <c r="F7" s="22"/>
      <c r="G7" s="23"/>
      <c r="H7" s="23"/>
      <c r="I7" s="24"/>
      <c r="J7" s="24"/>
    </row>
    <row r="8" spans="1:10" ht="15.6" x14ac:dyDescent="0.25">
      <c r="A8" s="20"/>
      <c r="B8" s="21" t="s">
        <v>785</v>
      </c>
      <c r="C8" s="22"/>
      <c r="D8" s="22"/>
      <c r="E8" s="22"/>
      <c r="F8" s="22"/>
      <c r="G8" s="23"/>
      <c r="H8" s="23"/>
      <c r="I8" s="24"/>
      <c r="J8" s="24"/>
    </row>
    <row r="9" spans="1:10" ht="15.6" x14ac:dyDescent="0.25">
      <c r="A9" s="20"/>
      <c r="B9" s="21" t="s">
        <v>786</v>
      </c>
      <c r="C9" s="22">
        <f t="shared" si="0"/>
        <v>80</v>
      </c>
      <c r="D9" s="22">
        <f>COUNTIF(SecurityAccess_0x27!L6:L747,"Pass")</f>
        <v>61</v>
      </c>
      <c r="E9" s="22">
        <f>COUNTIF(SecurityAccess_0x27!L6:L747,"Fail")</f>
        <v>16</v>
      </c>
      <c r="F9" s="22">
        <f>COUNTIF(SecurityAccess_0x27!L6:L747,"Block")</f>
        <v>3</v>
      </c>
      <c r="G9" s="23">
        <f t="shared" si="1"/>
        <v>0.76249999999999996</v>
      </c>
      <c r="H9" s="23">
        <f t="shared" si="2"/>
        <v>0.2</v>
      </c>
      <c r="I9" s="24">
        <f t="shared" si="3"/>
        <v>3.7499999999999999E-2</v>
      </c>
      <c r="J9" s="24">
        <f t="shared" si="4"/>
        <v>0.96250000000000002</v>
      </c>
    </row>
    <row r="10" spans="1:10" ht="15.6" x14ac:dyDescent="0.25">
      <c r="A10" s="20"/>
      <c r="B10" s="21" t="s">
        <v>787</v>
      </c>
      <c r="C10" s="22"/>
      <c r="D10" s="22"/>
      <c r="E10" s="22"/>
      <c r="F10" s="22"/>
      <c r="G10" s="23"/>
      <c r="H10" s="23"/>
      <c r="I10" s="24"/>
      <c r="J10" s="24"/>
    </row>
    <row r="11" spans="1:10" ht="15.6" x14ac:dyDescent="0.25">
      <c r="A11" s="20"/>
      <c r="B11" s="21" t="s">
        <v>788</v>
      </c>
      <c r="C11" s="22"/>
      <c r="D11" s="22"/>
      <c r="E11" s="22"/>
      <c r="F11" s="22"/>
      <c r="G11" s="23"/>
      <c r="H11" s="23"/>
      <c r="I11" s="24"/>
      <c r="J11" s="24"/>
    </row>
    <row r="12" spans="1:10" ht="15.6" x14ac:dyDescent="0.25">
      <c r="A12" s="20"/>
      <c r="B12" s="21" t="s">
        <v>789</v>
      </c>
      <c r="C12" s="22"/>
      <c r="D12" s="22"/>
      <c r="E12" s="22"/>
      <c r="F12" s="22"/>
      <c r="G12" s="23"/>
      <c r="H12" s="23"/>
      <c r="I12" s="24"/>
      <c r="J12" s="24"/>
    </row>
    <row r="13" spans="1:10" ht="15.6" x14ac:dyDescent="0.25">
      <c r="A13" s="20"/>
      <c r="B13" s="21" t="s">
        <v>790</v>
      </c>
      <c r="C13" s="22"/>
      <c r="D13" s="22"/>
      <c r="E13" s="22"/>
      <c r="F13" s="22"/>
      <c r="G13" s="23"/>
      <c r="H13" s="23"/>
      <c r="I13" s="24"/>
      <c r="J13" s="24"/>
    </row>
    <row r="14" spans="1:10" ht="15.6" x14ac:dyDescent="0.25">
      <c r="A14" s="20"/>
      <c r="B14" s="21" t="s">
        <v>791</v>
      </c>
      <c r="C14" s="22"/>
      <c r="D14" s="22"/>
      <c r="E14" s="22"/>
      <c r="F14" s="22"/>
      <c r="G14" s="23"/>
      <c r="H14" s="23"/>
      <c r="I14" s="24"/>
      <c r="J14" s="24"/>
    </row>
    <row r="15" spans="1:10" ht="15.6" x14ac:dyDescent="0.25">
      <c r="A15" s="20"/>
      <c r="B15" s="25" t="s">
        <v>792</v>
      </c>
      <c r="C15" s="22">
        <f>SUM(C4:C14)</f>
        <v>263</v>
      </c>
      <c r="D15" s="22">
        <f>SUM(D4:D14)</f>
        <v>227</v>
      </c>
      <c r="E15" s="22">
        <f>SUM(E4:E14)</f>
        <v>33</v>
      </c>
      <c r="F15" s="26">
        <v>22</v>
      </c>
      <c r="G15" s="23">
        <f>D15/C15</f>
        <v>0.86311787072243351</v>
      </c>
      <c r="H15" s="23">
        <f>E15/C15</f>
        <v>0.12547528517110265</v>
      </c>
      <c r="I15" s="24">
        <f>F15/C15</f>
        <v>8.3650190114068435E-2</v>
      </c>
      <c r="J15" s="24">
        <f t="shared" si="4"/>
        <v>0.91634980988593151</v>
      </c>
    </row>
    <row r="16" spans="1:10" ht="15.6" x14ac:dyDescent="0.25">
      <c r="A16" s="20"/>
      <c r="B16" s="27"/>
      <c r="C16" s="28"/>
      <c r="D16" s="28"/>
      <c r="E16" s="28"/>
      <c r="F16" s="28"/>
      <c r="G16" s="28"/>
      <c r="H16" s="28"/>
      <c r="I16" s="29"/>
      <c r="J16" s="10"/>
    </row>
    <row r="17" spans="1:10" ht="15.6" x14ac:dyDescent="0.25">
      <c r="A17" s="20"/>
      <c r="B17" s="30" t="s">
        <v>793</v>
      </c>
      <c r="C17" s="31"/>
      <c r="D17" s="28"/>
      <c r="E17" s="32"/>
      <c r="F17" s="32"/>
      <c r="G17" s="32"/>
      <c r="H17" s="28"/>
      <c r="I17" s="29"/>
      <c r="J17" s="10"/>
    </row>
    <row r="18" spans="1:10" ht="15.6" x14ac:dyDescent="0.25">
      <c r="A18" s="20"/>
      <c r="B18" s="30" t="s">
        <v>794</v>
      </c>
      <c r="C18" s="33"/>
      <c r="D18" s="28"/>
      <c r="E18" s="32"/>
      <c r="F18" s="32" t="s">
        <v>795</v>
      </c>
      <c r="G18" s="32"/>
      <c r="H18" s="28"/>
      <c r="I18" s="29"/>
      <c r="J18" s="10"/>
    </row>
    <row r="19" spans="1:10" ht="15.6" x14ac:dyDescent="0.25">
      <c r="A19" s="20"/>
      <c r="B19" s="30" t="s">
        <v>796</v>
      </c>
      <c r="C19" s="34"/>
      <c r="D19" s="28"/>
      <c r="E19" s="32"/>
      <c r="F19" s="32" t="s">
        <v>797</v>
      </c>
      <c r="G19" s="32"/>
      <c r="H19" s="28"/>
      <c r="I19" s="29"/>
      <c r="J19" s="10"/>
    </row>
    <row r="20" spans="1:10" ht="15.6" x14ac:dyDescent="0.25">
      <c r="A20" s="20"/>
      <c r="B20" s="30" t="s">
        <v>798</v>
      </c>
      <c r="C20" s="35"/>
      <c r="D20" s="28"/>
      <c r="E20" s="32"/>
      <c r="F20" s="32" t="s">
        <v>799</v>
      </c>
      <c r="G20" s="32"/>
      <c r="H20" s="28"/>
      <c r="I20" s="29"/>
      <c r="J20" s="10"/>
    </row>
    <row r="21" spans="1:10" ht="15.6" x14ac:dyDescent="0.25">
      <c r="A21" s="20"/>
      <c r="B21" s="36"/>
      <c r="I21" s="38"/>
      <c r="J21" s="10"/>
    </row>
    <row r="22" spans="1:10" ht="15.6" x14ac:dyDescent="0.25">
      <c r="A22" s="20"/>
      <c r="B22" s="25" t="s">
        <v>800</v>
      </c>
      <c r="C22" s="54" t="s">
        <v>801</v>
      </c>
      <c r="D22" s="55"/>
      <c r="E22" s="28"/>
      <c r="F22" s="28"/>
      <c r="G22" s="28"/>
      <c r="H22" s="28"/>
      <c r="I22" s="38"/>
      <c r="J22" s="10"/>
    </row>
    <row r="23" spans="1:10" ht="15.6" x14ac:dyDescent="0.25">
      <c r="A23" s="20"/>
      <c r="B23" s="39"/>
      <c r="C23" s="28"/>
      <c r="D23" s="28"/>
      <c r="E23" s="28"/>
      <c r="F23" s="28"/>
      <c r="G23" s="28"/>
      <c r="H23" s="28"/>
      <c r="I23" s="38"/>
      <c r="J23" s="10"/>
    </row>
    <row r="24" spans="1:10" ht="15.6" x14ac:dyDescent="0.25">
      <c r="A24" s="20"/>
      <c r="B24" s="56" t="s">
        <v>802</v>
      </c>
      <c r="C24" s="56"/>
      <c r="D24" s="57"/>
      <c r="E24" s="57"/>
      <c r="F24" s="57"/>
      <c r="G24" s="57"/>
      <c r="H24" s="57"/>
      <c r="I24" s="38"/>
      <c r="J24" s="10"/>
    </row>
    <row r="25" spans="1:10" ht="15.6" x14ac:dyDescent="0.25">
      <c r="A25" s="20"/>
      <c r="B25" s="57"/>
      <c r="C25" s="57"/>
      <c r="D25" s="57"/>
      <c r="E25" s="57"/>
      <c r="F25" s="57"/>
      <c r="G25" s="57"/>
      <c r="H25" s="57"/>
      <c r="I25" s="38"/>
      <c r="J25" s="10"/>
    </row>
    <row r="26" spans="1:10" ht="15.6" x14ac:dyDescent="0.25">
      <c r="A26" s="40"/>
      <c r="B26" s="58"/>
      <c r="C26" s="58"/>
      <c r="D26" s="58"/>
      <c r="E26" s="58"/>
      <c r="F26" s="58"/>
      <c r="G26" s="58"/>
      <c r="H26" s="58"/>
      <c r="I26" s="41"/>
      <c r="J26" s="42"/>
    </row>
  </sheetData>
  <mergeCells count="3">
    <mergeCell ref="B2:I2"/>
    <mergeCell ref="C22:D22"/>
    <mergeCell ref="B24:H26"/>
  </mergeCells>
  <phoneticPr fontId="4" type="noConversion"/>
  <conditionalFormatting sqref="C22:D22">
    <cfRule type="cellIs" dxfId="11" priority="1" operator="equal">
      <formula>"不通过"</formula>
    </cfRule>
  </conditionalFormatting>
  <dataValidations count="1">
    <dataValidation type="list" allowBlank="1" showInputMessage="1" showErrorMessage="1" sqref="C22:D22">
      <formula1>"Pass,No Pass,Conditional Pass"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DiagnosticSessionControl_0x10</vt:lpstr>
      <vt:lpstr>ECUReset_0x11</vt:lpstr>
      <vt:lpstr>ClearDiagnosticInformation_0x14</vt:lpstr>
      <vt:lpstr>SecurityAccess_0x27</vt:lpstr>
      <vt:lpstr>测试汇总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2026-06-03T01:44:10Z</dcterms:created>
  <dcterms:modified xsi:type="dcterms:W3CDTF">2026-06-04T05:29:37Z</dcterms:modified>
</cp:coreProperties>
</file>